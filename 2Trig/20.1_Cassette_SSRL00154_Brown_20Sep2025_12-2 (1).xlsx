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C:\Users\jdm255\Downloads\"/>
    </mc:Choice>
  </mc:AlternateContent>
  <xr:revisionPtr revIDLastSave="912" documentId="13_ncr:1_{D9C8455B-00E9-48B2-A178-EED652491754}" xr6:coauthVersionLast="47" xr6:coauthVersionMax="47" xr10:uidLastSave="{53EBC6ED-56D4-4A65-A77B-7744B8218FBD}"/>
  <bookViews>
    <workbookView xWindow="-28920" yWindow="-120" windowWidth="29040" windowHeight="17520" xr2:uid="{69A04779-2431-467D-8A2E-354EF31D7EA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6" i="1" l="1"/>
</calcChain>
</file>

<file path=xl/sharedStrings.xml><?xml version="1.0" encoding="utf-8"?>
<sst xmlns="http://schemas.openxmlformats.org/spreadsheetml/2006/main" count="1096" uniqueCount="345">
  <si>
    <t>ContainerID</t>
  </si>
  <si>
    <t>ContainerType</t>
  </si>
  <si>
    <t>Port</t>
  </si>
  <si>
    <t>CrystalID</t>
  </si>
  <si>
    <t>Protein</t>
  </si>
  <si>
    <t>Directory</t>
  </si>
  <si>
    <t>Comment</t>
  </si>
  <si>
    <t>FreezingCond</t>
  </si>
  <si>
    <t>CrystalCond</t>
  </si>
  <si>
    <t>Metal</t>
  </si>
  <si>
    <t>Priority</t>
  </si>
  <si>
    <t>Person</t>
  </si>
  <si>
    <t>Diffraction results</t>
  </si>
  <si>
    <t>spot shape</t>
  </si>
  <si>
    <t>fraction indexed</t>
  </si>
  <si>
    <t>Mosaicity</t>
  </si>
  <si>
    <t>final ISa</t>
  </si>
  <si>
    <t>Frames deleted</t>
  </si>
  <si>
    <t>frames to remove</t>
  </si>
  <si>
    <t>space group</t>
  </si>
  <si>
    <t>unit cell</t>
  </si>
  <si>
    <t>iso resolution</t>
  </si>
  <si>
    <t>iso rmeas</t>
  </si>
  <si>
    <t>iso num uniq reflections</t>
  </si>
  <si>
    <t>iso overall completeness %</t>
  </si>
  <si>
    <t>iso overall redundancy</t>
  </si>
  <si>
    <t>aniso resolution</t>
  </si>
  <si>
    <t>aniso rmeas</t>
  </si>
  <si>
    <t>aniso completeness (spherical)</t>
  </si>
  <si>
    <t>Twin fraction</t>
  </si>
  <si>
    <t xml:space="preserve">distance to origin </t>
  </si>
  <si>
    <t>Height relative to origin</t>
  </si>
  <si>
    <t>Unit-cell solvent content (%)</t>
  </si>
  <si>
    <t>searched for?</t>
  </si>
  <si>
    <t>LLG</t>
  </si>
  <si>
    <t>TFZ</t>
  </si>
  <si>
    <t>fit to dens</t>
  </si>
  <si>
    <t>poly seen, termini match?</t>
  </si>
  <si>
    <t>SSRL00154</t>
  </si>
  <si>
    <t>cassette</t>
  </si>
  <si>
    <t>A1</t>
  </si>
  <si>
    <t>10xHis_1TEL_vWA_Precipitation_5mg/mL</t>
  </si>
  <si>
    <t>Rectangle</t>
  </si>
  <si>
    <t>INDEX</t>
  </si>
  <si>
    <t>Wisdom</t>
  </si>
  <si>
    <t>just ice</t>
  </si>
  <si>
    <t>A2</t>
  </si>
  <si>
    <t>no crystal</t>
  </si>
  <si>
    <t>A3</t>
  </si>
  <si>
    <t>10xHIS-2TEL-FIKK2 6.3mg</t>
  </si>
  <si>
    <t>INDEX F4</t>
  </si>
  <si>
    <t>no diffraction</t>
  </si>
  <si>
    <t>A4</t>
  </si>
  <si>
    <t>Rock</t>
  </si>
  <si>
    <t>polycrystalline, ice</t>
  </si>
  <si>
    <t>A5</t>
  </si>
  <si>
    <t>A6</t>
  </si>
  <si>
    <t>A7</t>
  </si>
  <si>
    <t>10xHis_1TEL_vWA_Precipitation_15mg/mL</t>
  </si>
  <si>
    <t>INDEX F8 optimized (F12)</t>
  </si>
  <si>
    <t>ice rings, and 1 weird non-ice ring</t>
  </si>
  <si>
    <t>A8</t>
  </si>
  <si>
    <t>INDEX F8 optimized (G12)</t>
  </si>
  <si>
    <t>strong high res scattering but no pattern</t>
  </si>
  <si>
    <t xml:space="preserve"> </t>
  </si>
  <si>
    <t>B1</t>
  </si>
  <si>
    <t>Ice plus some rings</t>
  </si>
  <si>
    <t>B2</t>
  </si>
  <si>
    <t>10xHis_1TEL_vWA_Precipitation_4mg/mL</t>
  </si>
  <si>
    <t>Cube</t>
  </si>
  <si>
    <t>INDEX G12</t>
  </si>
  <si>
    <t>B3</t>
  </si>
  <si>
    <t>Rectangular prism</t>
  </si>
  <si>
    <t>INDEX F6</t>
  </si>
  <si>
    <t>loop bent, crystal blocked by pin</t>
  </si>
  <si>
    <t>B4</t>
  </si>
  <si>
    <t>poly diff, same 4.5A ring</t>
  </si>
  <si>
    <t>B5</t>
  </si>
  <si>
    <t>10xHis_1TEL-TV-vWA_RegularPurification</t>
  </si>
  <si>
    <t>Pentagon</t>
  </si>
  <si>
    <t>INDEX C10</t>
  </si>
  <si>
    <t>B6</t>
  </si>
  <si>
    <t xml:space="preserve">2.28 A , collected </t>
  </si>
  <si>
    <t>Good</t>
  </si>
  <si>
    <t>none</t>
  </si>
  <si>
    <t>P61</t>
  </si>
  <si>
    <t>101.476 101.476 49.216 90.0 90.0 120.0</t>
  </si>
  <si>
    <t>B7</t>
  </si>
  <si>
    <t>INDEX C4</t>
  </si>
  <si>
    <t>ice, 2.8  A vis, collected  with mb</t>
  </si>
  <si>
    <t>P2</t>
  </si>
  <si>
    <t>101.184 49.415 101.464 90.000 119.626 90.000</t>
  </si>
  <si>
    <t>B7 space group P61</t>
  </si>
  <si>
    <t>101.422 101.422 49.410 90.0 90.0 120.0</t>
  </si>
  <si>
    <t>B8</t>
  </si>
  <si>
    <t>10xHIS-FIKK2 5.5mg</t>
  </si>
  <si>
    <t>C1</t>
  </si>
  <si>
    <t>10xHIS-FIKK2 (Aggregate Portion) 5.4</t>
  </si>
  <si>
    <t>INDEX E9</t>
  </si>
  <si>
    <t>C2</t>
  </si>
  <si>
    <t>ice, some salt-looking high angle spots</t>
  </si>
  <si>
    <t>C3</t>
  </si>
  <si>
    <t>10xHIS-2TEl-PP-VPS34 30mg/ml</t>
  </si>
  <si>
    <t>ice and polycrystalline diffraction</t>
  </si>
  <si>
    <t>C4</t>
  </si>
  <si>
    <t>INDEX D1</t>
  </si>
  <si>
    <t>poly salt</t>
  </si>
  <si>
    <t>C5</t>
  </si>
  <si>
    <t>no diffraction, light ice</t>
  </si>
  <si>
    <t>C6</t>
  </si>
  <si>
    <t>INDEX G2</t>
  </si>
  <si>
    <t>salt</t>
  </si>
  <si>
    <t>C7</t>
  </si>
  <si>
    <t>C8</t>
  </si>
  <si>
    <t>empty loop</t>
  </si>
  <si>
    <t>D1</t>
  </si>
  <si>
    <t>INDEX G3</t>
  </si>
  <si>
    <t>more salt</t>
  </si>
  <si>
    <t>D2</t>
  </si>
  <si>
    <t>Jamison</t>
  </si>
  <si>
    <t>salt :( and some ice</t>
  </si>
  <si>
    <t>D3</t>
  </si>
  <si>
    <t>2TEL-KQ-VPS34 31 mg/mL</t>
  </si>
  <si>
    <t>Small Spheroid</t>
  </si>
  <si>
    <t>Index G4</t>
  </si>
  <si>
    <t>no crystal, some ice</t>
  </si>
  <si>
    <t>D4</t>
  </si>
  <si>
    <t>10xHIS-1TEL-TV-vWA Regular Purification 6.5mg/ml</t>
  </si>
  <si>
    <t>Carrot</t>
  </si>
  <si>
    <t>Index C4</t>
  </si>
  <si>
    <t>D5</t>
  </si>
  <si>
    <t>2A vis, collect</t>
  </si>
  <si>
    <t>101.150 101.150 49.778 90.0 90.0 120.0</t>
  </si>
  <si>
    <t>collect2</t>
  </si>
  <si>
    <t>101.250 101.250 49.479 90.0 90.0 120.0</t>
  </si>
  <si>
    <t>D6</t>
  </si>
  <si>
    <t>2.2A vis, collected</t>
  </si>
  <si>
    <t>101.054 101.054 49.257 90.0 90.0 120.0</t>
  </si>
  <si>
    <t>D7</t>
  </si>
  <si>
    <t>1.8A, least streaky, ice rings,collected</t>
  </si>
  <si>
    <t>101.153 101.153 50.009 90.0 90.0 120.0</t>
  </si>
  <si>
    <t>D8</t>
  </si>
  <si>
    <t>2.5, collected</t>
  </si>
  <si>
    <t>101.279 101.279 49.281 90.0 90.0 120.0</t>
  </si>
  <si>
    <t>E1</t>
  </si>
  <si>
    <t>10xHIS-1TEL-TV-vWA Precipitation  15mg/ml</t>
  </si>
  <si>
    <t>Index F8 Optimized (E12 on tray)</t>
  </si>
  <si>
    <t>E2</t>
  </si>
  <si>
    <t>E3</t>
  </si>
  <si>
    <t>E4</t>
  </si>
  <si>
    <t>E5</t>
  </si>
  <si>
    <t>E6</t>
  </si>
  <si>
    <t>10xHIS-1TEL-TV-vWA Regular Purification (9/25/25)</t>
  </si>
  <si>
    <t>E7 SaltRx Optimized (G10 in plate)</t>
  </si>
  <si>
    <t>2.4A collected</t>
  </si>
  <si>
    <t>Fair</t>
  </si>
  <si>
    <t>101.186 101.186 49.383 90.0 90.0 120.0</t>
  </si>
  <si>
    <t>E7</t>
  </si>
  <si>
    <t>SaltRx F3</t>
  </si>
  <si>
    <t>2A, salt diff at some angles, collected</t>
  </si>
  <si>
    <t>101.222 101.222 49.270 90.0 90.0 120.0</t>
  </si>
  <si>
    <t>E8</t>
  </si>
  <si>
    <t>2A, streaky at some angles, collected</t>
  </si>
  <si>
    <t>101.607 101.607 49.880 90.0 90.0 120.0</t>
  </si>
  <si>
    <t>F1</t>
  </si>
  <si>
    <t>2.1A, collected</t>
  </si>
  <si>
    <t>P63</t>
  </si>
  <si>
    <t>101.303 101.303 49.502 90.0 90.0 120.0</t>
  </si>
  <si>
    <t>F2</t>
  </si>
  <si>
    <t>F2-2</t>
  </si>
  <si>
    <t>3.1A Vis, Collected 2A</t>
  </si>
  <si>
    <t>101.488 101.488 49.351 90.0 90.0 120.0</t>
  </si>
  <si>
    <t>F3</t>
  </si>
  <si>
    <t>2.1A Vis, Collected</t>
  </si>
  <si>
    <t>101.350 101.350 49.385 90.0 90.0 120.0</t>
  </si>
  <si>
    <t>F4</t>
  </si>
  <si>
    <t>10xHIS-1TEL-TV-vWA Regular Purification (9/29/25) 23mg/ml</t>
  </si>
  <si>
    <t>Smeary diffraction</t>
  </si>
  <si>
    <t>F5</t>
  </si>
  <si>
    <t>101.463 101.463 49.440 90.0 90.0 120.0</t>
  </si>
  <si>
    <t>Space group P61</t>
  </si>
  <si>
    <t>101.459 101.459 49.437 90.0 90.0 120.0</t>
  </si>
  <si>
    <t>F6</t>
  </si>
  <si>
    <t>PegIon Optimized (Ammonium Citrate Tribasic) A1</t>
  </si>
  <si>
    <t>streaky 4.5A diffraction, 3.5 A mb, Collect at 50% transmission</t>
  </si>
  <si>
    <t>F7</t>
  </si>
  <si>
    <t>ice and salt</t>
  </si>
  <si>
    <t>F8</t>
  </si>
  <si>
    <t>streaky maybe 2.5A generously, 3.1 A mb, Collect at 50% transmission</t>
  </si>
  <si>
    <t>indexing failed</t>
  </si>
  <si>
    <t>F8-2</t>
  </si>
  <si>
    <t>Smeary</t>
  </si>
  <si>
    <t>71.643 25.408 72.039 90.000 119.736 90.000</t>
  </si>
  <si>
    <t>G1</t>
  </si>
  <si>
    <t>10xHIS-2TEl-PP-VPS34 30mg/ml RD-I-86 Soaked</t>
  </si>
  <si>
    <t>PegIon Optimized (Ammonium Citrate Tribasic) A2</t>
  </si>
  <si>
    <t>salt, ice</t>
  </si>
  <si>
    <t>G2</t>
  </si>
  <si>
    <t>streaky, out to 4A</t>
  </si>
  <si>
    <t>G3</t>
  </si>
  <si>
    <t>Streaks to 2.5A, collected (worse res)</t>
  </si>
  <si>
    <t>poor</t>
  </si>
  <si>
    <t>P62</t>
  </si>
  <si>
    <t>71.071 71.071 25.252 90.0 90.0 120.0</t>
  </si>
  <si>
    <t>3.0 A mb, Collected at 50% transmission</t>
  </si>
  <si>
    <t>G4</t>
  </si>
  <si>
    <t>streaky 4A</t>
  </si>
  <si>
    <t>G5</t>
  </si>
  <si>
    <t>PegIon Optimized (Ammonium Citrate Tribasic) A3</t>
  </si>
  <si>
    <t>there's no loop</t>
  </si>
  <si>
    <t>G6</t>
  </si>
  <si>
    <t>ice</t>
  </si>
  <si>
    <t>G7</t>
  </si>
  <si>
    <t>4.5A streaky</t>
  </si>
  <si>
    <t>G8</t>
  </si>
  <si>
    <t>PegIon Optimized (Ammonium Citrate Tribasic) A5</t>
  </si>
  <si>
    <t>very faint 4.5</t>
  </si>
  <si>
    <t>H1</t>
  </si>
  <si>
    <t>PegIon Optimized (Ammonium Citrate Tribasic) A6</t>
  </si>
  <si>
    <t>H2</t>
  </si>
  <si>
    <t>4A collected</t>
  </si>
  <si>
    <t>H3</t>
  </si>
  <si>
    <t>maybe some salt diffraction</t>
  </si>
  <si>
    <t>H4</t>
  </si>
  <si>
    <t>1T-VWA-CID3 16mg/mL</t>
  </si>
  <si>
    <t>Needles</t>
  </si>
  <si>
    <t>Crystal Screen (D7)</t>
  </si>
  <si>
    <t xml:space="preserve">Prasadika </t>
  </si>
  <si>
    <t>2.6 vis, collected</t>
  </si>
  <si>
    <t>smeary</t>
  </si>
  <si>
    <t>C2221</t>
  </si>
  <si>
    <t>49.959 59.185 100.659 90.0 90.0 90.0</t>
  </si>
  <si>
    <t>N/A</t>
  </si>
  <si>
    <t>40.44 (W18,000)</t>
  </si>
  <si>
    <t>H5</t>
  </si>
  <si>
    <t>1TEL_WT 20mg/mL</t>
  </si>
  <si>
    <t>Rod</t>
  </si>
  <si>
    <t>PEG_CUSTOM C4</t>
  </si>
  <si>
    <t>Maria</t>
  </si>
  <si>
    <t>Smeary diffraction, ice</t>
  </si>
  <si>
    <t>H6</t>
  </si>
  <si>
    <t>Strong but smeary diffraction, ice</t>
  </si>
  <si>
    <t>H7</t>
  </si>
  <si>
    <t>slightly less smeary</t>
  </si>
  <si>
    <t>H8</t>
  </si>
  <si>
    <t>Best so far, smeary, 2.5 vis, some ice, shoot towards bottom of loop if collecting</t>
  </si>
  <si>
    <t>I1</t>
  </si>
  <si>
    <t>I2</t>
  </si>
  <si>
    <t>2.7 vis, collected</t>
  </si>
  <si>
    <t>P622</t>
  </si>
  <si>
    <t>106.835 106.835 46.758 90.0 90.0 120.0</t>
  </si>
  <si>
    <t>I3</t>
  </si>
  <si>
    <t>PEG_CUSTOM C5</t>
  </si>
  <si>
    <t>ETHAN</t>
  </si>
  <si>
    <t>smeary 2.7vis, collected</t>
  </si>
  <si>
    <t>P6322</t>
  </si>
  <si>
    <t>61.748 61.748 47.104 90.0 90.0 120.0</t>
  </si>
  <si>
    <t>I4</t>
  </si>
  <si>
    <t>smeary, 2.98 A</t>
  </si>
  <si>
    <t>I5</t>
  </si>
  <si>
    <t>PEG CUSTOM B1</t>
  </si>
  <si>
    <t>Ethan</t>
  </si>
  <si>
    <t>2.9 vis, collected</t>
  </si>
  <si>
    <t>61.590 61.590 47.959 90.0 90.0 120.0</t>
  </si>
  <si>
    <t>Rescale in P65</t>
  </si>
  <si>
    <t>I6</t>
  </si>
  <si>
    <t>smeary 3 A</t>
  </si>
  <si>
    <t>I7</t>
  </si>
  <si>
    <t>Peg Custom C5</t>
  </si>
  <si>
    <t>smeary 2.9 A</t>
  </si>
  <si>
    <t>I8</t>
  </si>
  <si>
    <t>J1</t>
  </si>
  <si>
    <t>Peg Custom C6</t>
  </si>
  <si>
    <t>J2</t>
  </si>
  <si>
    <t>super tiny crystal or no crystal?</t>
  </si>
  <si>
    <t>J3</t>
  </si>
  <si>
    <t>Peg Custom C7</t>
  </si>
  <si>
    <t>ice, smeary, sone spots?</t>
  </si>
  <si>
    <t>J4</t>
  </si>
  <si>
    <t>weak diffraction</t>
  </si>
  <si>
    <t>J5</t>
  </si>
  <si>
    <t>Peg Custom D9</t>
  </si>
  <si>
    <t>broken loop</t>
  </si>
  <si>
    <t>J6</t>
  </si>
  <si>
    <t>3.7 A maybe smeary</t>
  </si>
  <si>
    <t>J7</t>
  </si>
  <si>
    <t>His-HSP47 5 mg/mL</t>
  </si>
  <si>
    <t>vRectangular Prism</t>
  </si>
  <si>
    <t>Salt Rx (E10), 1.8 M Sodium phosphate monobasic monohydrate; Potassium phosphate dibasic / pH8.2</t>
  </si>
  <si>
    <t>no diffraction, maybe no crystal?</t>
  </si>
  <si>
    <t>J8</t>
  </si>
  <si>
    <t>Peg Custom D12</t>
  </si>
  <si>
    <t>poor diffraction, smeary?</t>
  </si>
  <si>
    <t>K1</t>
  </si>
  <si>
    <t>1TEL_WT 20mg/mL ELECTRO</t>
  </si>
  <si>
    <t>1.9 A, smeary, collected</t>
  </si>
  <si>
    <t>106.590 106.590 46.564 90.0 90.0 120.0</t>
  </si>
  <si>
    <t>K2</t>
  </si>
  <si>
    <t>collected 1.9 A at 20% transmission</t>
  </si>
  <si>
    <t>K3</t>
  </si>
  <si>
    <t xml:space="preserve">collected </t>
  </si>
  <si>
    <t>61.683 107.124 45.453 90.0 90.0 90.0</t>
  </si>
  <si>
    <t>K4</t>
  </si>
  <si>
    <t>collected 2.7A</t>
  </si>
  <si>
    <t>C222</t>
  </si>
  <si>
    <t>107.296 185.723 46.112 90.0 90.0 90.0</t>
  </si>
  <si>
    <t>K5</t>
  </si>
  <si>
    <t>collected 2.3A</t>
  </si>
  <si>
    <t>106.437 106.437 46.686 90.0 90.0 120.0</t>
  </si>
  <si>
    <t>K6</t>
  </si>
  <si>
    <t>collected 1.9A</t>
  </si>
  <si>
    <t>P21212</t>
  </si>
  <si>
    <t>44.016 107.803 123.241 90.0 90.0 90.0</t>
  </si>
  <si>
    <t>K7</t>
  </si>
  <si>
    <t>62.324 62.324 44.665 90.0 90.0 120.0</t>
  </si>
  <si>
    <t>K8</t>
  </si>
  <si>
    <t>polycrystalline at least 3 crystals,collected 3A</t>
  </si>
  <si>
    <t>61.944 61.944 46.032 90.0 90.0 120.0</t>
  </si>
  <si>
    <t>L1</t>
  </si>
  <si>
    <t>Messy spots, 2.64 A</t>
  </si>
  <si>
    <t>L2</t>
  </si>
  <si>
    <t>Cleaner spots, 2.56 A, Collected</t>
  </si>
  <si>
    <t>61.633 61.633 45.622 90.0 90.0 120.0</t>
  </si>
  <si>
    <t>L3</t>
  </si>
  <si>
    <t>Rectangular Prism</t>
  </si>
  <si>
    <t>Salt Rx (G4), 1.8 M Magnesium sulfate hydrate; 0.1 M Sodium acetate trihydrate pH 4.6</t>
  </si>
  <si>
    <t>Minimal diffraction, salt</t>
  </si>
  <si>
    <t>L4</t>
  </si>
  <si>
    <t>Plate</t>
  </si>
  <si>
    <t>PEG ION (D4), 0.2M Sodium phosphate dibasic dihydrate; 20% w/v Polyethylene glycol 3,350</t>
  </si>
  <si>
    <t>Multiple crystals, poor diffraction at 50%, no spots below about 6A (no low res spots)</t>
  </si>
  <si>
    <t>L5</t>
  </si>
  <si>
    <t>Long Needle</t>
  </si>
  <si>
    <t>Smeary strong diffraction at 50%, no spots below 5.8A, extremely regular pattern (salt?)</t>
  </si>
  <si>
    <t>L6</t>
  </si>
  <si>
    <t>Dallin</t>
  </si>
  <si>
    <t>Very icy, poor diffraction if any</t>
  </si>
  <si>
    <t>L7</t>
  </si>
  <si>
    <t>PEG ION (D8), 0.2M Ammonium phosphate dibasic; 20% w/v Polyethylene glycol 3,350</t>
  </si>
  <si>
    <t>Heavy ice, no diffraction</t>
  </si>
  <si>
    <t>L8</t>
  </si>
  <si>
    <t>Short rod</t>
  </si>
  <si>
    <t>PEG ION (B8), 0.2M Magnesium formate dihydrate; 20% w/v Polyethylene glycol 3,350</t>
  </si>
  <si>
    <t>Alexis</t>
  </si>
  <si>
    <t>Ice, no visible crystal, no diffraction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</si>
</sst>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6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  <charset val="1"/>
    </font>
    <font>
      <sz val="10"/>
      <color rgb="FF000000"/>
      <name val="Arial"/>
    </font>
    <font>
      <b/>
      <sz val="10"/>
      <color rgb="FF974706"/>
      <name val="Arial"/>
    </font>
    <font>
      <b/>
      <sz val="10"/>
      <color rgb="FF974706"/>
      <name val="Calibri"/>
    </font>
    <font>
      <b/>
      <sz val="10"/>
      <color rgb="FFC0504D"/>
      <name val="Arial"/>
    </font>
    <font>
      <b/>
      <sz val="10"/>
      <color rgb="FF9C4B17"/>
      <name val="Arial"/>
    </font>
    <font>
      <sz val="11"/>
      <color rgb="FF000000"/>
      <name val="Calibri"/>
      <family val="2"/>
    </font>
    <font>
      <sz val="10"/>
      <color rgb="FF000000"/>
      <name val="Calibri"/>
    </font>
    <font>
      <sz val="10"/>
      <color rgb="FF000000"/>
      <name val="Arial"/>
      <charset val="1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0"/>
      <color theme="1"/>
      <name val="Arial"/>
    </font>
    <font>
      <sz val="10"/>
      <color rgb="FF0000FF"/>
      <name val="Courier New"/>
      <charset val="1"/>
    </font>
    <font>
      <b/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55"/>
        <bgColor indexed="23"/>
      </patternFill>
    </fill>
    <fill>
      <patternFill patternType="solid">
        <fgColor rgb="FFF79646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A8C8FF"/>
        <bgColor rgb="FF000000"/>
      </patternFill>
    </fill>
    <fill>
      <patternFill patternType="solid">
        <fgColor theme="3" tint="0.749992370372631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0D160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74">
    <xf numFmtId="0" fontId="0" fillId="0" borderId="0" xfId="0"/>
    <xf numFmtId="0" fontId="8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3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wrapText="1"/>
    </xf>
    <xf numFmtId="0" fontId="3" fillId="8" borderId="2" xfId="0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 wrapText="1"/>
    </xf>
    <xf numFmtId="0" fontId="3" fillId="7" borderId="2" xfId="0" applyFont="1" applyFill="1" applyBorder="1" applyAlignment="1">
      <alignment horizontal="center" wrapText="1"/>
    </xf>
    <xf numFmtId="0" fontId="3" fillId="9" borderId="2" xfId="0" applyFont="1" applyFill="1" applyBorder="1" applyAlignment="1">
      <alignment horizontal="center" wrapText="1"/>
    </xf>
    <xf numFmtId="0" fontId="9" fillId="3" borderId="2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9" fillId="7" borderId="2" xfId="0" applyFont="1" applyFill="1" applyBorder="1" applyAlignment="1">
      <alignment horizontal="center"/>
    </xf>
    <xf numFmtId="0" fontId="3" fillId="9" borderId="0" xfId="0" applyFont="1" applyFill="1" applyAlignment="1">
      <alignment horizontal="center" wrapText="1"/>
    </xf>
    <xf numFmtId="0" fontId="2" fillId="0" borderId="0" xfId="1" applyFont="1" applyAlignment="1">
      <alignment horizontal="center"/>
    </xf>
    <xf numFmtId="164" fontId="2" fillId="0" borderId="0" xfId="2" applyNumberFormat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3" fillId="7" borderId="2" xfId="0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11" fillId="0" borderId="0" xfId="0" applyFont="1" applyAlignment="1">
      <alignment horizontal="center"/>
    </xf>
    <xf numFmtId="14" fontId="11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11" fillId="10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49" fontId="12" fillId="2" borderId="1" xfId="0" applyNumberFormat="1" applyFont="1" applyFill="1" applyBorder="1" applyAlignment="1">
      <alignment horizontal="center" textRotation="90" wrapText="1"/>
    </xf>
    <xf numFmtId="49" fontId="12" fillId="2" borderId="3" xfId="0" applyNumberFormat="1" applyFont="1" applyFill="1" applyBorder="1" applyAlignment="1">
      <alignment horizontal="center" textRotation="90" wrapText="1"/>
    </xf>
    <xf numFmtId="0" fontId="10" fillId="0" borderId="0" xfId="0" applyFont="1" applyAlignment="1">
      <alignment horizontal="center"/>
    </xf>
    <xf numFmtId="0" fontId="11" fillId="11" borderId="0" xfId="0" applyFont="1" applyFill="1" applyAlignment="1">
      <alignment horizontal="center"/>
    </xf>
    <xf numFmtId="0" fontId="11" fillId="12" borderId="0" xfId="0" applyFont="1" applyFill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49" fontId="12" fillId="2" borderId="1" xfId="0" applyNumberFormat="1" applyFont="1" applyFill="1" applyBorder="1" applyAlignment="1">
      <alignment horizontal="center" textRotation="90"/>
    </xf>
    <xf numFmtId="10" fontId="11" fillId="0" borderId="0" xfId="0" applyNumberFormat="1" applyFont="1" applyAlignment="1">
      <alignment horizontal="center"/>
    </xf>
    <xf numFmtId="0" fontId="14" fillId="0" borderId="0" xfId="0" applyFont="1"/>
    <xf numFmtId="49" fontId="12" fillId="13" borderId="1" xfId="0" applyNumberFormat="1" applyFont="1" applyFill="1" applyBorder="1" applyAlignment="1">
      <alignment horizontal="center" textRotation="90" wrapText="1"/>
    </xf>
    <xf numFmtId="0" fontId="11" fillId="13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2" fillId="14" borderId="0" xfId="1" applyFont="1" applyFill="1" applyAlignment="1">
      <alignment horizontal="center"/>
    </xf>
    <xf numFmtId="164" fontId="2" fillId="14" borderId="0" xfId="2" applyNumberFormat="1" applyFill="1" applyAlignment="1">
      <alignment horizontal="center"/>
    </xf>
    <xf numFmtId="0" fontId="4" fillId="14" borderId="0" xfId="0" applyFont="1" applyFill="1" applyAlignment="1">
      <alignment horizontal="center"/>
    </xf>
    <xf numFmtId="0" fontId="3" fillId="14" borderId="2" xfId="0" applyFont="1" applyFill="1" applyBorder="1" applyAlignment="1">
      <alignment horizontal="center"/>
    </xf>
    <xf numFmtId="0" fontId="3" fillId="14" borderId="2" xfId="0" applyFont="1" applyFill="1" applyBorder="1" applyAlignment="1">
      <alignment horizontal="center" wrapText="1"/>
    </xf>
    <xf numFmtId="0" fontId="0" fillId="14" borderId="0" xfId="0" applyFill="1" applyAlignment="1">
      <alignment horizontal="center"/>
    </xf>
    <xf numFmtId="0" fontId="9" fillId="14" borderId="2" xfId="0" applyFont="1" applyFill="1" applyBorder="1" applyAlignment="1">
      <alignment horizontal="center"/>
    </xf>
    <xf numFmtId="0" fontId="11" fillId="14" borderId="0" xfId="0" applyFont="1" applyFill="1" applyAlignment="1">
      <alignment horizontal="center"/>
    </xf>
    <xf numFmtId="14" fontId="11" fillId="14" borderId="0" xfId="0" applyNumberFormat="1" applyFont="1" applyFill="1" applyAlignment="1">
      <alignment horizontal="center"/>
    </xf>
    <xf numFmtId="0" fontId="7" fillId="14" borderId="0" xfId="0" applyFont="1" applyFill="1" applyAlignment="1">
      <alignment horizontal="center"/>
    </xf>
    <xf numFmtId="0" fontId="2" fillId="15" borderId="0" xfId="1" applyFont="1" applyFill="1" applyAlignment="1">
      <alignment horizontal="center"/>
    </xf>
    <xf numFmtId="164" fontId="2" fillId="15" borderId="0" xfId="2" applyNumberFormat="1" applyFill="1" applyAlignment="1">
      <alignment horizontal="center"/>
    </xf>
    <xf numFmtId="0" fontId="4" fillId="15" borderId="0" xfId="0" applyFont="1" applyFill="1" applyAlignment="1">
      <alignment horizontal="center"/>
    </xf>
    <xf numFmtId="0" fontId="3" fillId="15" borderId="2" xfId="0" applyFont="1" applyFill="1" applyBorder="1" applyAlignment="1">
      <alignment horizontal="center"/>
    </xf>
    <xf numFmtId="0" fontId="3" fillId="15" borderId="2" xfId="0" applyFont="1" applyFill="1" applyBorder="1" applyAlignment="1">
      <alignment horizontal="center" wrapText="1"/>
    </xf>
    <xf numFmtId="0" fontId="0" fillId="15" borderId="0" xfId="0" applyFill="1" applyAlignment="1">
      <alignment horizontal="center"/>
    </xf>
    <xf numFmtId="0" fontId="9" fillId="15" borderId="2" xfId="0" applyFont="1" applyFill="1" applyBorder="1" applyAlignment="1">
      <alignment horizontal="center"/>
    </xf>
    <xf numFmtId="0" fontId="11" fillId="15" borderId="0" xfId="0" applyFont="1" applyFill="1" applyAlignment="1">
      <alignment horizontal="center"/>
    </xf>
    <xf numFmtId="14" fontId="11" fillId="15" borderId="0" xfId="0" applyNumberFormat="1" applyFont="1" applyFill="1" applyAlignment="1">
      <alignment horizontal="center"/>
    </xf>
    <xf numFmtId="0" fontId="7" fillId="15" borderId="0" xfId="0" applyFont="1" applyFill="1" applyAlignment="1">
      <alignment horizontal="center"/>
    </xf>
    <xf numFmtId="0" fontId="15" fillId="15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14" fontId="11" fillId="16" borderId="0" xfId="0" applyNumberFormat="1" applyFont="1" applyFill="1" applyAlignment="1">
      <alignment horizontal="center"/>
    </xf>
    <xf numFmtId="0" fontId="15" fillId="13" borderId="0" xfId="0" applyFont="1" applyFill="1" applyAlignment="1">
      <alignment horizontal="center"/>
    </xf>
    <xf numFmtId="0" fontId="15" fillId="0" borderId="0" xfId="0" applyFont="1" applyAlignment="1">
      <alignment horizontal="center"/>
    </xf>
  </cellXfs>
  <cellStyles count="3">
    <cellStyle name="Normal" xfId="0" builtinId="0"/>
    <cellStyle name="Normal 2" xfId="1" xr:uid="{038DB9DF-3778-432C-95A7-6298536FB7EB}"/>
    <cellStyle name="Normal 3" xfId="2" xr:uid="{086E863E-9065-49AD-9A88-EB03AFE6793E}"/>
  </cellStyles>
  <dxfs count="0"/>
  <tableStyles count="0" defaultTableStyle="TableStyleMedium2" defaultPivotStyle="PivotStyleLight16"/>
  <colors>
    <mruColors>
      <color rgb="FF90D1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D8A7C-1ED5-4466-914C-AE509A609CBF}">
  <dimension ref="A1:AL105"/>
  <sheetViews>
    <sheetView tabSelected="1" workbookViewId="0">
      <pane ySplit="1" topLeftCell="U2" activePane="bottomLeft" state="frozen"/>
      <selection pane="bottomLeft" activeCell="AU1" sqref="AU1"/>
    </sheetView>
  </sheetViews>
  <sheetFormatPr defaultRowHeight="15"/>
  <cols>
    <col min="1" max="1" width="11.42578125" style="2" customWidth="1"/>
    <col min="2" max="2" width="14.42578125" style="25" customWidth="1"/>
    <col min="3" max="3" width="4.5703125" style="2" customWidth="1"/>
    <col min="4" max="4" width="8.85546875" style="2" bestFit="1" customWidth="1"/>
    <col min="5" max="5" width="52.85546875" style="2" customWidth="1"/>
    <col min="6" max="6" width="8.85546875" style="2" customWidth="1"/>
    <col min="7" max="7" width="17.28515625" style="2" customWidth="1"/>
    <col min="8" max="8" width="12.85546875" style="2" customWidth="1"/>
    <col min="9" max="9" width="73.5703125" style="2" customWidth="1"/>
    <col min="10" max="10" width="5.85546875" style="2" customWidth="1"/>
    <col min="11" max="11" width="7.28515625" style="2" customWidth="1"/>
    <col min="12" max="12" width="9.42578125" style="2" customWidth="1"/>
    <col min="13" max="13" width="31.85546875" style="2" customWidth="1"/>
    <col min="14" max="20" width="9.140625" style="2"/>
    <col min="21" max="21" width="41.85546875" style="2" bestFit="1" customWidth="1"/>
    <col min="22" max="22" width="9.140625" style="48"/>
    <col min="23" max="16384" width="9.140625" style="2"/>
  </cols>
  <sheetData>
    <row r="1" spans="1:38" s="35" customFormat="1" ht="74.25" customHeight="1">
      <c r="A1" s="35" t="s">
        <v>0</v>
      </c>
      <c r="B1" s="36" t="s">
        <v>1</v>
      </c>
      <c r="C1" s="36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  <c r="V1" s="46" t="s">
        <v>21</v>
      </c>
      <c r="W1" s="35" t="s">
        <v>22</v>
      </c>
      <c r="X1" s="35" t="s">
        <v>23</v>
      </c>
      <c r="Y1" s="35" t="s">
        <v>24</v>
      </c>
      <c r="Z1" s="35" t="s">
        <v>25</v>
      </c>
      <c r="AA1" s="35" t="s">
        <v>26</v>
      </c>
      <c r="AB1" s="35" t="s">
        <v>27</v>
      </c>
      <c r="AC1" s="35" t="s">
        <v>28</v>
      </c>
      <c r="AD1" s="43" t="s">
        <v>29</v>
      </c>
      <c r="AE1" s="43" t="s">
        <v>30</v>
      </c>
      <c r="AF1" s="43" t="s">
        <v>31</v>
      </c>
      <c r="AG1" s="43" t="s">
        <v>32</v>
      </c>
      <c r="AH1" s="35" t="s">
        <v>33</v>
      </c>
      <c r="AI1" s="35" t="s">
        <v>34</v>
      </c>
      <c r="AJ1" s="35" t="s">
        <v>35</v>
      </c>
      <c r="AK1" s="35" t="s">
        <v>36</v>
      </c>
      <c r="AL1" s="35" t="s">
        <v>37</v>
      </c>
    </row>
    <row r="2" spans="1:38">
      <c r="A2" s="18" t="s">
        <v>38</v>
      </c>
      <c r="B2" s="19" t="s">
        <v>39</v>
      </c>
      <c r="C2" s="4" t="s">
        <v>40</v>
      </c>
      <c r="D2" s="4" t="s">
        <v>40</v>
      </c>
      <c r="E2" s="20" t="s">
        <v>41</v>
      </c>
      <c r="F2" s="4" t="s">
        <v>40</v>
      </c>
      <c r="G2" s="8" t="s">
        <v>42</v>
      </c>
      <c r="I2" s="8" t="s">
        <v>43</v>
      </c>
      <c r="L2" s="13" t="s">
        <v>44</v>
      </c>
      <c r="M2" s="26" t="s">
        <v>45</v>
      </c>
      <c r="N2" s="26"/>
      <c r="O2" s="26"/>
      <c r="P2" s="26"/>
      <c r="Q2" s="26"/>
      <c r="R2" s="26"/>
      <c r="S2" s="26"/>
      <c r="T2" s="26"/>
      <c r="U2" s="26"/>
      <c r="V2" s="47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</row>
    <row r="3" spans="1:38">
      <c r="A3" s="18" t="s">
        <v>38</v>
      </c>
      <c r="B3" s="19" t="s">
        <v>39</v>
      </c>
      <c r="C3" s="4" t="s">
        <v>46</v>
      </c>
      <c r="D3" s="4" t="s">
        <v>46</v>
      </c>
      <c r="E3" s="20" t="s">
        <v>41</v>
      </c>
      <c r="F3" s="4" t="s">
        <v>46</v>
      </c>
      <c r="G3" s="8" t="s">
        <v>42</v>
      </c>
      <c r="I3" s="8" t="s">
        <v>43</v>
      </c>
      <c r="L3" s="13" t="s">
        <v>44</v>
      </c>
      <c r="M3" s="26" t="s">
        <v>47</v>
      </c>
      <c r="N3" s="26"/>
      <c r="O3" s="26"/>
      <c r="P3" s="26"/>
      <c r="Q3" s="26"/>
      <c r="R3" s="27"/>
      <c r="S3" s="26"/>
      <c r="T3" s="26"/>
      <c r="U3" s="26"/>
      <c r="V3" s="47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</row>
    <row r="4" spans="1:38">
      <c r="A4" s="18" t="s">
        <v>38</v>
      </c>
      <c r="B4" s="19" t="s">
        <v>39</v>
      </c>
      <c r="C4" s="4" t="s">
        <v>48</v>
      </c>
      <c r="D4" s="4" t="s">
        <v>48</v>
      </c>
      <c r="E4" s="30" t="s">
        <v>49</v>
      </c>
      <c r="F4" s="4" t="s">
        <v>48</v>
      </c>
      <c r="G4" s="8"/>
      <c r="I4" s="8" t="s">
        <v>50</v>
      </c>
      <c r="L4" s="13" t="s">
        <v>44</v>
      </c>
      <c r="M4" s="26" t="s">
        <v>51</v>
      </c>
      <c r="N4" s="26"/>
      <c r="O4" s="26"/>
      <c r="P4" s="26"/>
      <c r="Q4" s="26"/>
      <c r="R4" s="27"/>
      <c r="S4" s="26"/>
      <c r="T4" s="26"/>
      <c r="U4" s="26"/>
      <c r="V4" s="47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</row>
    <row r="5" spans="1:38">
      <c r="A5" s="18" t="s">
        <v>38</v>
      </c>
      <c r="B5" s="19" t="s">
        <v>39</v>
      </c>
      <c r="C5" s="4" t="s">
        <v>52</v>
      </c>
      <c r="D5" s="4" t="s">
        <v>52</v>
      </c>
      <c r="E5" s="20" t="s">
        <v>41</v>
      </c>
      <c r="F5" s="4" t="s">
        <v>52</v>
      </c>
      <c r="G5" s="8" t="s">
        <v>53</v>
      </c>
      <c r="I5" s="8" t="s">
        <v>43</v>
      </c>
      <c r="L5" s="13" t="s">
        <v>44</v>
      </c>
      <c r="M5" s="26" t="s">
        <v>54</v>
      </c>
      <c r="N5" s="26"/>
      <c r="O5" s="26"/>
      <c r="P5" s="26"/>
      <c r="Q5" s="26"/>
      <c r="R5" s="27"/>
      <c r="S5" s="26"/>
      <c r="T5" s="26"/>
      <c r="U5" s="26"/>
      <c r="V5" s="47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</row>
    <row r="6" spans="1:38">
      <c r="A6" s="18" t="s">
        <v>38</v>
      </c>
      <c r="B6" s="19" t="s">
        <v>39</v>
      </c>
      <c r="C6" s="4" t="s">
        <v>55</v>
      </c>
      <c r="D6" s="4" t="s">
        <v>55</v>
      </c>
      <c r="E6" s="20" t="s">
        <v>41</v>
      </c>
      <c r="F6" s="4" t="s">
        <v>55</v>
      </c>
      <c r="G6" s="8" t="s">
        <v>53</v>
      </c>
      <c r="I6" s="8" t="s">
        <v>43</v>
      </c>
      <c r="L6" s="13" t="s">
        <v>44</v>
      </c>
      <c r="M6" s="26" t="s">
        <v>54</v>
      </c>
      <c r="N6" s="26"/>
      <c r="O6" s="26"/>
      <c r="P6" s="26"/>
      <c r="Q6" s="26"/>
      <c r="R6" s="27"/>
      <c r="S6" s="26"/>
      <c r="T6" s="26"/>
      <c r="U6" s="26"/>
      <c r="V6" s="47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</row>
    <row r="7" spans="1:38">
      <c r="A7" s="18" t="s">
        <v>38</v>
      </c>
      <c r="B7" s="19" t="s">
        <v>39</v>
      </c>
      <c r="C7" s="4" t="s">
        <v>56</v>
      </c>
      <c r="D7" s="4" t="s">
        <v>56</v>
      </c>
      <c r="E7" s="20" t="s">
        <v>41</v>
      </c>
      <c r="F7" s="4" t="s">
        <v>56</v>
      </c>
      <c r="G7" s="8" t="s">
        <v>53</v>
      </c>
      <c r="I7" s="8" t="s">
        <v>43</v>
      </c>
      <c r="L7" s="13" t="s">
        <v>44</v>
      </c>
      <c r="M7" s="26" t="s">
        <v>54</v>
      </c>
      <c r="N7" s="26"/>
      <c r="O7" s="26"/>
      <c r="P7" s="26"/>
      <c r="Q7" s="26"/>
      <c r="R7" s="27"/>
      <c r="S7" s="26"/>
      <c r="T7" s="26"/>
      <c r="U7" s="26"/>
      <c r="V7" s="47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</row>
    <row r="8" spans="1:38">
      <c r="A8" s="18" t="s">
        <v>38</v>
      </c>
      <c r="B8" s="19" t="s">
        <v>39</v>
      </c>
      <c r="C8" s="4" t="s">
        <v>57</v>
      </c>
      <c r="D8" s="4" t="s">
        <v>57</v>
      </c>
      <c r="E8" s="20" t="s">
        <v>58</v>
      </c>
      <c r="F8" s="4" t="s">
        <v>57</v>
      </c>
      <c r="G8" s="8" t="s">
        <v>42</v>
      </c>
      <c r="I8" s="8" t="s">
        <v>59</v>
      </c>
      <c r="L8" s="13" t="s">
        <v>44</v>
      </c>
      <c r="M8" s="26" t="s">
        <v>60</v>
      </c>
      <c r="N8" s="26"/>
      <c r="O8" s="26"/>
      <c r="P8" s="26"/>
      <c r="Q8" s="26"/>
      <c r="R8" s="27"/>
      <c r="S8" s="26"/>
      <c r="T8" s="26"/>
      <c r="U8" s="26"/>
      <c r="V8" s="47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</row>
    <row r="9" spans="1:38">
      <c r="A9" s="18" t="s">
        <v>38</v>
      </c>
      <c r="B9" s="19" t="s">
        <v>39</v>
      </c>
      <c r="C9" s="4" t="s">
        <v>61</v>
      </c>
      <c r="D9" s="4" t="s">
        <v>61</v>
      </c>
      <c r="E9" s="20" t="s">
        <v>58</v>
      </c>
      <c r="F9" s="4" t="s">
        <v>61</v>
      </c>
      <c r="G9" s="8" t="s">
        <v>53</v>
      </c>
      <c r="I9" s="8" t="s">
        <v>62</v>
      </c>
      <c r="L9" s="13" t="s">
        <v>44</v>
      </c>
      <c r="M9" s="26" t="s">
        <v>63</v>
      </c>
      <c r="N9" s="26"/>
      <c r="O9" s="26"/>
      <c r="P9" s="26"/>
      <c r="Q9" s="26"/>
      <c r="R9" s="27"/>
      <c r="S9" s="26"/>
      <c r="T9" s="26"/>
      <c r="U9" s="26"/>
      <c r="V9" s="47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</row>
    <row r="10" spans="1:38">
      <c r="A10" s="18" t="s">
        <v>64</v>
      </c>
      <c r="B10" s="19" t="s">
        <v>39</v>
      </c>
      <c r="C10" s="4" t="s">
        <v>65</v>
      </c>
      <c r="D10" s="4" t="s">
        <v>65</v>
      </c>
      <c r="E10" s="20" t="s">
        <v>58</v>
      </c>
      <c r="F10" s="4" t="s">
        <v>65</v>
      </c>
      <c r="G10" s="8" t="s">
        <v>53</v>
      </c>
      <c r="I10" s="8" t="s">
        <v>62</v>
      </c>
      <c r="L10" s="13" t="s">
        <v>44</v>
      </c>
      <c r="M10" s="26" t="s">
        <v>66</v>
      </c>
      <c r="N10" s="26"/>
      <c r="O10" s="26"/>
      <c r="P10" s="26"/>
      <c r="Q10" s="26"/>
      <c r="R10" s="27"/>
      <c r="S10" s="26"/>
      <c r="T10" s="26" t="s">
        <v>64</v>
      </c>
      <c r="U10" s="26"/>
      <c r="V10" s="47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</row>
    <row r="11" spans="1:38">
      <c r="A11" s="18" t="s">
        <v>38</v>
      </c>
      <c r="B11" s="19" t="s">
        <v>39</v>
      </c>
      <c r="C11" s="4" t="s">
        <v>67</v>
      </c>
      <c r="D11" s="4" t="s">
        <v>67</v>
      </c>
      <c r="E11" s="20" t="s">
        <v>68</v>
      </c>
      <c r="F11" s="4" t="s">
        <v>67</v>
      </c>
      <c r="G11" s="8" t="s">
        <v>69</v>
      </c>
      <c r="I11" s="8" t="s">
        <v>70</v>
      </c>
      <c r="L11" s="13" t="s">
        <v>44</v>
      </c>
      <c r="M11" s="26" t="s">
        <v>66</v>
      </c>
      <c r="N11" s="26"/>
      <c r="O11" s="26"/>
      <c r="P11" s="26"/>
      <c r="Q11" s="26"/>
      <c r="R11" s="27"/>
      <c r="S11" s="26"/>
      <c r="T11" s="26"/>
      <c r="U11" s="26"/>
      <c r="V11" s="47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</row>
    <row r="12" spans="1:38">
      <c r="A12" s="18" t="s">
        <v>38</v>
      </c>
      <c r="B12" s="19" t="s">
        <v>39</v>
      </c>
      <c r="C12" s="4" t="s">
        <v>71</v>
      </c>
      <c r="D12" s="4" t="s">
        <v>71</v>
      </c>
      <c r="E12" s="20" t="s">
        <v>68</v>
      </c>
      <c r="F12" s="4" t="s">
        <v>71</v>
      </c>
      <c r="G12" s="8" t="s">
        <v>72</v>
      </c>
      <c r="I12" s="8" t="s">
        <v>73</v>
      </c>
      <c r="L12" s="13" t="s">
        <v>44</v>
      </c>
      <c r="M12" s="26" t="s">
        <v>74</v>
      </c>
      <c r="N12" s="26"/>
      <c r="O12" s="26"/>
      <c r="P12" s="26"/>
      <c r="Q12" s="26"/>
      <c r="R12" s="27"/>
      <c r="S12" s="26"/>
      <c r="T12" s="26"/>
      <c r="U12" s="26"/>
      <c r="V12" s="47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</row>
    <row r="13" spans="1:38">
      <c r="A13" s="18" t="s">
        <v>38</v>
      </c>
      <c r="B13" s="19" t="s">
        <v>39</v>
      </c>
      <c r="C13" s="4" t="s">
        <v>75</v>
      </c>
      <c r="D13" s="4" t="s">
        <v>75</v>
      </c>
      <c r="E13" s="20" t="s">
        <v>68</v>
      </c>
      <c r="F13" s="4" t="s">
        <v>75</v>
      </c>
      <c r="G13" s="8" t="s">
        <v>72</v>
      </c>
      <c r="I13" s="8" t="s">
        <v>73</v>
      </c>
      <c r="L13" s="13" t="s">
        <v>44</v>
      </c>
      <c r="M13" s="26" t="s">
        <v>76</v>
      </c>
      <c r="N13" s="26"/>
      <c r="O13" s="26"/>
      <c r="P13" s="26"/>
      <c r="Q13" s="26"/>
      <c r="R13" s="27"/>
      <c r="S13" s="26"/>
      <c r="T13" s="26"/>
      <c r="U13" s="26"/>
      <c r="V13" s="47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</row>
    <row r="14" spans="1:38">
      <c r="A14" s="18" t="s">
        <v>38</v>
      </c>
      <c r="B14" s="19" t="s">
        <v>39</v>
      </c>
      <c r="C14" s="5" t="s">
        <v>77</v>
      </c>
      <c r="D14" s="5" t="s">
        <v>77</v>
      </c>
      <c r="E14" s="28" t="s">
        <v>78</v>
      </c>
      <c r="F14" s="5" t="s">
        <v>77</v>
      </c>
      <c r="G14" s="28" t="s">
        <v>79</v>
      </c>
      <c r="I14" s="29" t="s">
        <v>80</v>
      </c>
      <c r="L14" s="1"/>
      <c r="M14" s="26" t="s">
        <v>47</v>
      </c>
      <c r="N14" s="26"/>
      <c r="O14" s="26"/>
      <c r="P14" s="26"/>
      <c r="Q14" s="26"/>
      <c r="R14" s="27"/>
      <c r="S14" s="26"/>
      <c r="T14" s="26"/>
      <c r="U14" s="26"/>
      <c r="V14" s="47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</row>
    <row r="15" spans="1:38">
      <c r="A15" s="18" t="s">
        <v>38</v>
      </c>
      <c r="B15" s="19" t="s">
        <v>39</v>
      </c>
      <c r="C15" s="5" t="s">
        <v>81</v>
      </c>
      <c r="D15" s="5" t="s">
        <v>81</v>
      </c>
      <c r="E15" s="28" t="s">
        <v>78</v>
      </c>
      <c r="F15" s="5" t="s">
        <v>81</v>
      </c>
      <c r="G15" s="28" t="s">
        <v>79</v>
      </c>
      <c r="I15" s="29" t="s">
        <v>80</v>
      </c>
      <c r="L15" s="1" t="s">
        <v>44</v>
      </c>
      <c r="M15" s="32" t="s">
        <v>82</v>
      </c>
      <c r="N15" s="26" t="s">
        <v>83</v>
      </c>
      <c r="O15" s="26">
        <v>0.313</v>
      </c>
      <c r="P15" s="26">
        <v>0.4</v>
      </c>
      <c r="Q15" s="26">
        <v>10.57</v>
      </c>
      <c r="R15" s="27" t="s">
        <v>84</v>
      </c>
      <c r="S15" s="26"/>
      <c r="T15" s="26" t="s">
        <v>85</v>
      </c>
      <c r="U15" s="26" t="s">
        <v>86</v>
      </c>
      <c r="V15" s="47">
        <v>2.2799999999999998</v>
      </c>
      <c r="W15" s="26">
        <v>0.26100000000000001</v>
      </c>
      <c r="X15" s="26">
        <v>12842</v>
      </c>
      <c r="Y15" s="26">
        <v>96</v>
      </c>
      <c r="Z15" s="26">
        <v>20.3</v>
      </c>
      <c r="AA15" s="26">
        <v>1.9870000000000001</v>
      </c>
      <c r="AB15" s="26">
        <v>0.27500000000000002</v>
      </c>
      <c r="AC15" s="26">
        <v>68.2</v>
      </c>
      <c r="AD15" s="26"/>
      <c r="AE15" s="26"/>
      <c r="AF15" s="26"/>
      <c r="AG15" s="26"/>
      <c r="AH15" s="26"/>
      <c r="AI15" s="26"/>
      <c r="AJ15" s="26"/>
      <c r="AK15" s="26"/>
      <c r="AL15" s="26"/>
    </row>
    <row r="16" spans="1:38">
      <c r="A16" s="18" t="s">
        <v>38</v>
      </c>
      <c r="B16" s="19" t="s">
        <v>39</v>
      </c>
      <c r="C16" s="5" t="s">
        <v>87</v>
      </c>
      <c r="D16" s="5" t="s">
        <v>87</v>
      </c>
      <c r="E16" s="28" t="s">
        <v>78</v>
      </c>
      <c r="F16" s="5" t="s">
        <v>87</v>
      </c>
      <c r="G16" s="1"/>
      <c r="I16" s="29" t="s">
        <v>88</v>
      </c>
      <c r="L16" s="1" t="s">
        <v>44</v>
      </c>
      <c r="M16" s="32" t="s">
        <v>89</v>
      </c>
      <c r="N16" s="26" t="s">
        <v>83</v>
      </c>
      <c r="O16" s="26">
        <v>0.34</v>
      </c>
      <c r="P16" s="26">
        <v>0.45</v>
      </c>
      <c r="Q16" s="26">
        <v>9.26</v>
      </c>
      <c r="R16" s="27" t="s">
        <v>84</v>
      </c>
      <c r="S16" s="26"/>
      <c r="T16" s="26" t="s">
        <v>90</v>
      </c>
      <c r="U16" s="26" t="s">
        <v>91</v>
      </c>
      <c r="V16" s="47">
        <v>3.0790000000000002</v>
      </c>
      <c r="W16" s="26">
        <v>0.54100000000000004</v>
      </c>
      <c r="X16" s="26">
        <v>15283</v>
      </c>
      <c r="Y16" s="26">
        <v>92.4</v>
      </c>
      <c r="Z16" s="26">
        <v>6.1</v>
      </c>
      <c r="AA16" s="26">
        <v>2.6059999999999999</v>
      </c>
      <c r="AB16" s="26">
        <v>0.56899999999999995</v>
      </c>
      <c r="AC16" s="26">
        <v>61.7</v>
      </c>
      <c r="AD16" s="26"/>
      <c r="AE16" s="26"/>
      <c r="AF16" s="26"/>
      <c r="AG16" s="26"/>
      <c r="AH16" s="26"/>
      <c r="AI16" s="26"/>
      <c r="AJ16" s="26"/>
      <c r="AK16" s="26"/>
      <c r="AL16" s="26"/>
    </row>
    <row r="17" spans="1:38">
      <c r="A17" s="18"/>
      <c r="B17" s="19"/>
      <c r="C17" s="5"/>
      <c r="D17" s="5"/>
      <c r="E17" s="28"/>
      <c r="F17" s="5" t="s">
        <v>92</v>
      </c>
      <c r="G17" s="1"/>
      <c r="I17" s="29"/>
      <c r="L17" s="1"/>
      <c r="M17" s="32"/>
      <c r="N17" s="26" t="s">
        <v>83</v>
      </c>
      <c r="O17" s="26">
        <v>0.29599999999999999</v>
      </c>
      <c r="P17" s="26">
        <v>0.4</v>
      </c>
      <c r="Q17" s="26">
        <v>7.92</v>
      </c>
      <c r="R17" s="27" t="s">
        <v>84</v>
      </c>
      <c r="S17" s="26"/>
      <c r="T17" s="26" t="s">
        <v>85</v>
      </c>
      <c r="U17" s="26" t="s">
        <v>93</v>
      </c>
      <c r="V17" s="47">
        <v>2.9159999999999999</v>
      </c>
      <c r="W17" s="26">
        <v>1.3779999999999999</v>
      </c>
      <c r="X17" s="26">
        <v>6145</v>
      </c>
      <c r="Y17" s="26">
        <v>94.9</v>
      </c>
      <c r="Z17" s="26">
        <v>20.2</v>
      </c>
      <c r="AA17" s="26">
        <v>2.6429999999999998</v>
      </c>
      <c r="AB17" s="26">
        <v>2.6960000000000002</v>
      </c>
      <c r="AC17" s="26">
        <v>86.5</v>
      </c>
      <c r="AD17" s="26"/>
      <c r="AE17" s="26"/>
      <c r="AF17" s="26"/>
      <c r="AG17" s="26"/>
      <c r="AH17" s="26"/>
      <c r="AI17" s="26"/>
      <c r="AJ17" s="26"/>
      <c r="AK17" s="26"/>
      <c r="AL17" s="26"/>
    </row>
    <row r="18" spans="1:38">
      <c r="A18" s="18" t="s">
        <v>38</v>
      </c>
      <c r="B18" s="19" t="s">
        <v>39</v>
      </c>
      <c r="C18" s="5" t="s">
        <v>94</v>
      </c>
      <c r="D18" s="5" t="s">
        <v>94</v>
      </c>
      <c r="E18" s="28" t="s">
        <v>95</v>
      </c>
      <c r="F18" s="5" t="s">
        <v>94</v>
      </c>
      <c r="G18" s="1"/>
      <c r="I18" s="29" t="s">
        <v>73</v>
      </c>
      <c r="L18" s="1" t="s">
        <v>44</v>
      </c>
      <c r="M18" s="26" t="s">
        <v>51</v>
      </c>
      <c r="N18" s="26"/>
      <c r="O18" s="26"/>
      <c r="P18" s="26"/>
      <c r="Q18" s="26"/>
      <c r="R18" s="27"/>
      <c r="S18" s="26"/>
      <c r="T18" s="26"/>
      <c r="U18" s="26"/>
      <c r="V18" s="47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</row>
    <row r="19" spans="1:38">
      <c r="A19" s="18" t="s">
        <v>38</v>
      </c>
      <c r="B19" s="19" t="s">
        <v>39</v>
      </c>
      <c r="C19" s="5" t="s">
        <v>96</v>
      </c>
      <c r="D19" s="5" t="s">
        <v>96</v>
      </c>
      <c r="E19" s="28" t="s">
        <v>97</v>
      </c>
      <c r="F19" s="5" t="s">
        <v>96</v>
      </c>
      <c r="G19" s="13"/>
      <c r="I19" s="29" t="s">
        <v>98</v>
      </c>
      <c r="L19" s="13"/>
      <c r="M19" s="26" t="s">
        <v>51</v>
      </c>
      <c r="N19" s="26"/>
      <c r="O19" s="26"/>
      <c r="P19" s="26"/>
      <c r="Q19" s="26"/>
      <c r="R19" s="27"/>
      <c r="S19" s="26"/>
      <c r="T19" s="26"/>
      <c r="U19" s="26"/>
      <c r="V19" s="47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</row>
    <row r="20" spans="1:38">
      <c r="A20" s="18" t="s">
        <v>38</v>
      </c>
      <c r="B20" s="19" t="s">
        <v>39</v>
      </c>
      <c r="C20" s="5" t="s">
        <v>99</v>
      </c>
      <c r="D20" s="5" t="s">
        <v>99</v>
      </c>
      <c r="E20" s="28" t="s">
        <v>97</v>
      </c>
      <c r="F20" s="5" t="s">
        <v>99</v>
      </c>
      <c r="G20" s="1"/>
      <c r="I20" s="29" t="s">
        <v>98</v>
      </c>
      <c r="L20" s="1" t="s">
        <v>44</v>
      </c>
      <c r="M20" s="26" t="s">
        <v>100</v>
      </c>
      <c r="N20" s="26"/>
      <c r="O20" s="26"/>
      <c r="P20" s="26"/>
      <c r="Q20" s="26"/>
      <c r="R20" s="26"/>
      <c r="S20" s="26"/>
      <c r="T20" s="26"/>
      <c r="U20" s="26"/>
      <c r="V20" s="47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</row>
    <row r="21" spans="1:38">
      <c r="A21" s="18" t="s">
        <v>38</v>
      </c>
      <c r="B21" s="19" t="s">
        <v>39</v>
      </c>
      <c r="C21" s="5" t="s">
        <v>101</v>
      </c>
      <c r="D21" s="5" t="s">
        <v>101</v>
      </c>
      <c r="E21" s="28" t="s">
        <v>102</v>
      </c>
      <c r="F21" s="5" t="s">
        <v>101</v>
      </c>
      <c r="G21" s="1"/>
      <c r="I21" s="29" t="s">
        <v>50</v>
      </c>
      <c r="L21" s="1" t="s">
        <v>44</v>
      </c>
      <c r="M21" s="26" t="s">
        <v>103</v>
      </c>
      <c r="N21" s="26"/>
      <c r="O21" s="26"/>
      <c r="P21" s="26"/>
      <c r="Q21" s="26"/>
      <c r="R21" s="26"/>
      <c r="S21" s="26"/>
      <c r="T21" s="26"/>
      <c r="U21" s="26"/>
      <c r="V21" s="47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</row>
    <row r="22" spans="1:38">
      <c r="A22" s="18" t="s">
        <v>38</v>
      </c>
      <c r="B22" s="19" t="s">
        <v>39</v>
      </c>
      <c r="C22" s="5" t="s">
        <v>104</v>
      </c>
      <c r="D22" s="5" t="s">
        <v>104</v>
      </c>
      <c r="E22" s="28" t="s">
        <v>49</v>
      </c>
      <c r="F22" s="5" t="s">
        <v>104</v>
      </c>
      <c r="G22" s="1"/>
      <c r="I22" s="29" t="s">
        <v>105</v>
      </c>
      <c r="L22" s="1" t="s">
        <v>44</v>
      </c>
      <c r="M22" s="26" t="s">
        <v>106</v>
      </c>
      <c r="N22" s="26"/>
      <c r="O22" s="26"/>
      <c r="P22" s="26"/>
      <c r="Q22" s="26"/>
      <c r="R22" s="26"/>
      <c r="S22" s="26"/>
      <c r="T22" s="26"/>
      <c r="U22" s="26"/>
      <c r="V22" s="47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</row>
    <row r="23" spans="1:38">
      <c r="A23" s="18" t="s">
        <v>38</v>
      </c>
      <c r="B23" s="19" t="s">
        <v>39</v>
      </c>
      <c r="C23" s="5" t="s">
        <v>107</v>
      </c>
      <c r="D23" s="5" t="s">
        <v>107</v>
      </c>
      <c r="E23" s="28" t="s">
        <v>49</v>
      </c>
      <c r="F23" s="5" t="s">
        <v>107</v>
      </c>
      <c r="G23" s="1"/>
      <c r="I23" s="29" t="s">
        <v>105</v>
      </c>
      <c r="L23" s="1" t="s">
        <v>44</v>
      </c>
      <c r="M23" s="26" t="s">
        <v>108</v>
      </c>
      <c r="N23" s="26"/>
      <c r="O23" s="26"/>
      <c r="P23" s="26"/>
      <c r="Q23" s="26"/>
      <c r="R23" s="26"/>
      <c r="S23" s="26"/>
      <c r="T23" s="26"/>
      <c r="U23" s="26"/>
      <c r="V23" s="47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</row>
    <row r="24" spans="1:38">
      <c r="A24" s="18" t="s">
        <v>38</v>
      </c>
      <c r="B24" s="19" t="s">
        <v>39</v>
      </c>
      <c r="C24" s="5" t="s">
        <v>109</v>
      </c>
      <c r="D24" s="5" t="s">
        <v>109</v>
      </c>
      <c r="E24" s="28" t="s">
        <v>49</v>
      </c>
      <c r="F24" s="5" t="s">
        <v>109</v>
      </c>
      <c r="G24" s="1"/>
      <c r="I24" s="29" t="s">
        <v>110</v>
      </c>
      <c r="L24" s="1" t="s">
        <v>44</v>
      </c>
      <c r="M24" s="26" t="s">
        <v>111</v>
      </c>
      <c r="N24" s="26"/>
      <c r="O24" s="26"/>
      <c r="P24" s="26"/>
      <c r="Q24" s="26"/>
      <c r="R24" s="26"/>
      <c r="S24" s="26"/>
      <c r="T24" s="26"/>
      <c r="U24" s="26"/>
      <c r="V24" s="47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1:38">
      <c r="A25" s="18" t="s">
        <v>38</v>
      </c>
      <c r="B25" s="19" t="s">
        <v>39</v>
      </c>
      <c r="C25" s="5" t="s">
        <v>112</v>
      </c>
      <c r="D25" s="5" t="s">
        <v>112</v>
      </c>
      <c r="E25" s="28" t="s">
        <v>49</v>
      </c>
      <c r="F25" s="5" t="s">
        <v>112</v>
      </c>
      <c r="G25" s="1"/>
      <c r="I25" s="29" t="s">
        <v>110</v>
      </c>
      <c r="L25" s="1" t="s">
        <v>44</v>
      </c>
      <c r="M25" s="26" t="s">
        <v>106</v>
      </c>
      <c r="N25" s="26"/>
      <c r="O25" s="26"/>
      <c r="P25" s="26"/>
      <c r="Q25" s="26"/>
      <c r="R25" s="27"/>
      <c r="S25" s="26"/>
      <c r="T25" s="26"/>
      <c r="U25" s="27"/>
      <c r="V25" s="47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1:38">
      <c r="A26" s="18" t="s">
        <v>38</v>
      </c>
      <c r="B26" s="19" t="s">
        <v>39</v>
      </c>
      <c r="C26" s="5" t="s">
        <v>113</v>
      </c>
      <c r="D26" s="5" t="s">
        <v>113</v>
      </c>
      <c r="E26" s="28" t="s">
        <v>49</v>
      </c>
      <c r="F26" s="5" t="s">
        <v>113</v>
      </c>
      <c r="G26" s="1"/>
      <c r="I26" s="29" t="s">
        <v>110</v>
      </c>
      <c r="L26" s="1" t="s">
        <v>44</v>
      </c>
      <c r="M26" s="26" t="s">
        <v>114</v>
      </c>
      <c r="N26" s="26"/>
      <c r="O26" s="26"/>
      <c r="P26" s="26"/>
      <c r="Q26" s="26"/>
      <c r="R26" s="27"/>
      <c r="S26" s="26"/>
      <c r="T26" s="26"/>
      <c r="U26" s="26"/>
      <c r="V26" s="47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1:38">
      <c r="A27" s="18" t="s">
        <v>38</v>
      </c>
      <c r="B27" s="19" t="s">
        <v>39</v>
      </c>
      <c r="C27" s="5" t="s">
        <v>115</v>
      </c>
      <c r="D27" s="5" t="s">
        <v>115</v>
      </c>
      <c r="E27" s="28" t="s">
        <v>49</v>
      </c>
      <c r="F27" s="5" t="s">
        <v>115</v>
      </c>
      <c r="G27" s="1"/>
      <c r="I27" s="29" t="s">
        <v>116</v>
      </c>
      <c r="L27" s="1" t="s">
        <v>44</v>
      </c>
      <c r="M27" s="26" t="s">
        <v>117</v>
      </c>
      <c r="N27" s="26"/>
      <c r="O27" s="26"/>
      <c r="P27" s="26"/>
      <c r="Q27" s="26"/>
      <c r="R27" s="27"/>
      <c r="S27" s="26"/>
      <c r="T27" s="26"/>
      <c r="U27" s="26"/>
      <c r="V27" s="47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1:38">
      <c r="A28" s="18" t="s">
        <v>38</v>
      </c>
      <c r="B28" s="19" t="s">
        <v>39</v>
      </c>
      <c r="C28" s="5" t="s">
        <v>118</v>
      </c>
      <c r="D28" s="5" t="s">
        <v>118</v>
      </c>
      <c r="E28" s="28" t="s">
        <v>49</v>
      </c>
      <c r="F28" s="5" t="s">
        <v>118</v>
      </c>
      <c r="G28" s="1"/>
      <c r="I28" s="29" t="s">
        <v>116</v>
      </c>
      <c r="L28" s="1" t="s">
        <v>119</v>
      </c>
      <c r="M28" s="26" t="s">
        <v>120</v>
      </c>
      <c r="N28" s="26"/>
      <c r="O28" s="26"/>
      <c r="P28" s="26"/>
      <c r="Q28" s="26"/>
      <c r="R28" s="27"/>
      <c r="S28" s="26"/>
      <c r="T28" s="26"/>
      <c r="U28" s="26"/>
      <c r="V28" s="47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1:38">
      <c r="A29" s="18" t="s">
        <v>38</v>
      </c>
      <c r="B29" s="19" t="s">
        <v>39</v>
      </c>
      <c r="C29" s="4" t="s">
        <v>121</v>
      </c>
      <c r="D29" s="4" t="s">
        <v>121</v>
      </c>
      <c r="E29" s="20" t="s">
        <v>122</v>
      </c>
      <c r="F29" s="4" t="s">
        <v>121</v>
      </c>
      <c r="G29" s="8" t="s">
        <v>123</v>
      </c>
      <c r="I29" s="8" t="s">
        <v>124</v>
      </c>
      <c r="L29" s="13" t="s">
        <v>44</v>
      </c>
      <c r="M29" s="26" t="s">
        <v>125</v>
      </c>
      <c r="N29" s="26"/>
      <c r="O29" s="26"/>
      <c r="P29" s="26"/>
      <c r="Q29" s="26"/>
      <c r="R29" s="27"/>
      <c r="S29" s="26"/>
      <c r="T29" s="26"/>
      <c r="U29" s="26"/>
      <c r="V29" s="47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1:38">
      <c r="A30" s="18" t="s">
        <v>38</v>
      </c>
      <c r="B30" s="19" t="s">
        <v>39</v>
      </c>
      <c r="C30" s="4" t="s">
        <v>126</v>
      </c>
      <c r="D30" s="4" t="s">
        <v>126</v>
      </c>
      <c r="E30" s="20" t="s">
        <v>127</v>
      </c>
      <c r="F30" s="4" t="s">
        <v>126</v>
      </c>
      <c r="G30" s="8" t="s">
        <v>128</v>
      </c>
      <c r="I30" s="8" t="s">
        <v>129</v>
      </c>
      <c r="L30" s="13" t="s">
        <v>44</v>
      </c>
      <c r="M30" s="26" t="s">
        <v>45</v>
      </c>
      <c r="N30" s="26"/>
      <c r="O30" s="26"/>
      <c r="P30" s="26"/>
      <c r="Q30" s="26"/>
      <c r="R30" s="27"/>
      <c r="S30" s="26"/>
      <c r="T30" s="26"/>
      <c r="U30" s="26"/>
      <c r="V30" s="47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1:38">
      <c r="A31" s="18" t="s">
        <v>38</v>
      </c>
      <c r="B31" s="19" t="s">
        <v>39</v>
      </c>
      <c r="C31" s="4" t="s">
        <v>130</v>
      </c>
      <c r="D31" s="4" t="s">
        <v>130</v>
      </c>
      <c r="E31" s="20" t="s">
        <v>127</v>
      </c>
      <c r="F31" s="4" t="s">
        <v>130</v>
      </c>
      <c r="G31" s="8" t="s">
        <v>128</v>
      </c>
      <c r="I31" s="8" t="s">
        <v>129</v>
      </c>
      <c r="L31" s="13" t="s">
        <v>44</v>
      </c>
      <c r="M31" s="33" t="s">
        <v>131</v>
      </c>
      <c r="N31" s="26" t="s">
        <v>83</v>
      </c>
      <c r="O31" s="26">
        <v>0.91</v>
      </c>
      <c r="P31" s="26">
        <v>0.2</v>
      </c>
      <c r="Q31" s="26">
        <v>15.65</v>
      </c>
      <c r="R31" s="27" t="s">
        <v>84</v>
      </c>
      <c r="S31" s="26"/>
      <c r="T31" s="26" t="s">
        <v>85</v>
      </c>
      <c r="U31" s="26" t="s">
        <v>132</v>
      </c>
      <c r="V31" s="47">
        <v>1.7649999999999999</v>
      </c>
      <c r="W31" s="26">
        <v>0.122</v>
      </c>
      <c r="X31" s="26">
        <v>26831</v>
      </c>
      <c r="Y31" s="26">
        <v>93.4</v>
      </c>
      <c r="Z31" s="26">
        <v>12.8</v>
      </c>
      <c r="AA31" s="26">
        <v>1.6080000000000001</v>
      </c>
      <c r="AB31" s="26">
        <v>0.123</v>
      </c>
      <c r="AC31" s="26">
        <v>72.5</v>
      </c>
      <c r="AD31" s="26"/>
      <c r="AE31" s="26"/>
      <c r="AF31" s="26"/>
      <c r="AG31" s="26"/>
      <c r="AH31" s="26"/>
      <c r="AI31" s="26"/>
      <c r="AJ31" s="26"/>
      <c r="AK31" s="26"/>
      <c r="AL31" s="26"/>
    </row>
    <row r="32" spans="1:38">
      <c r="A32" s="18"/>
      <c r="B32" s="19"/>
      <c r="C32" s="4"/>
      <c r="D32" s="4"/>
      <c r="E32" s="20"/>
      <c r="F32" s="4"/>
      <c r="G32" s="8"/>
      <c r="I32" s="8"/>
      <c r="L32" s="13"/>
      <c r="M32" s="37" t="s">
        <v>133</v>
      </c>
      <c r="N32" s="26" t="s">
        <v>83</v>
      </c>
      <c r="O32" s="26">
        <v>0.85</v>
      </c>
      <c r="P32" s="26">
        <v>0.25</v>
      </c>
      <c r="Q32" s="26">
        <v>21.41</v>
      </c>
      <c r="R32" s="27" t="s">
        <v>84</v>
      </c>
      <c r="S32" s="26"/>
      <c r="T32" s="26" t="s">
        <v>85</v>
      </c>
      <c r="U32" s="26" t="s">
        <v>134</v>
      </c>
      <c r="V32" s="47">
        <v>1.855</v>
      </c>
      <c r="W32" s="26">
        <v>0.113</v>
      </c>
      <c r="X32" s="26">
        <v>23270</v>
      </c>
      <c r="Y32" s="26">
        <v>94.2</v>
      </c>
      <c r="Z32" s="26">
        <v>13.7</v>
      </c>
      <c r="AA32" s="26">
        <v>1.788</v>
      </c>
      <c r="AB32" s="26">
        <v>0.113</v>
      </c>
      <c r="AC32" s="26">
        <v>84</v>
      </c>
      <c r="AD32" s="26"/>
      <c r="AE32" s="26"/>
      <c r="AF32" s="26"/>
      <c r="AG32" s="26"/>
      <c r="AH32" s="26"/>
      <c r="AI32" s="26"/>
      <c r="AJ32" s="26"/>
      <c r="AK32" s="26"/>
      <c r="AL32" s="26"/>
    </row>
    <row r="33" spans="1:38">
      <c r="A33" s="18" t="s">
        <v>38</v>
      </c>
      <c r="B33" s="19" t="s">
        <v>39</v>
      </c>
      <c r="C33" s="4" t="s">
        <v>135</v>
      </c>
      <c r="D33" s="4" t="s">
        <v>135</v>
      </c>
      <c r="E33" s="20" t="s">
        <v>127</v>
      </c>
      <c r="F33" s="4" t="s">
        <v>135</v>
      </c>
      <c r="G33" s="8" t="s">
        <v>128</v>
      </c>
      <c r="I33" s="8" t="s">
        <v>129</v>
      </c>
      <c r="L33" s="13" t="s">
        <v>44</v>
      </c>
      <c r="M33" s="33" t="s">
        <v>136</v>
      </c>
      <c r="N33" s="26" t="s">
        <v>83</v>
      </c>
      <c r="O33" s="26">
        <v>0.97</v>
      </c>
      <c r="P33" s="26">
        <v>0.25</v>
      </c>
      <c r="Q33" s="73">
        <v>22.79</v>
      </c>
      <c r="R33" s="27" t="s">
        <v>84</v>
      </c>
      <c r="S33" s="26"/>
      <c r="T33" s="26" t="s">
        <v>85</v>
      </c>
      <c r="U33" s="26" t="s">
        <v>137</v>
      </c>
      <c r="V33" s="72">
        <v>1.6659999999999999</v>
      </c>
      <c r="W33" s="26">
        <v>0.105</v>
      </c>
      <c r="X33" s="26">
        <v>32274</v>
      </c>
      <c r="Y33" s="26">
        <v>95.6</v>
      </c>
      <c r="Z33" s="26">
        <v>12.1</v>
      </c>
      <c r="AA33" s="26">
        <v>1.6060000000000001</v>
      </c>
      <c r="AB33" s="26">
        <v>9.9000000000000005E-2</v>
      </c>
      <c r="AC33" s="26">
        <v>78</v>
      </c>
      <c r="AD33" s="26"/>
      <c r="AE33" s="26"/>
      <c r="AF33" s="26"/>
      <c r="AG33" s="26"/>
      <c r="AH33" s="26"/>
      <c r="AI33" s="26"/>
      <c r="AJ33" s="26"/>
      <c r="AK33" s="26"/>
      <c r="AL33" s="26"/>
    </row>
    <row r="34" spans="1:38">
      <c r="A34" s="18" t="s">
        <v>38</v>
      </c>
      <c r="B34" s="19" t="s">
        <v>39</v>
      </c>
      <c r="C34" s="4" t="s">
        <v>138</v>
      </c>
      <c r="D34" s="4" t="s">
        <v>138</v>
      </c>
      <c r="E34" s="20" t="s">
        <v>127</v>
      </c>
      <c r="F34" s="4" t="s">
        <v>138</v>
      </c>
      <c r="G34" s="8" t="s">
        <v>128</v>
      </c>
      <c r="I34" s="8" t="s">
        <v>129</v>
      </c>
      <c r="L34" s="13" t="s">
        <v>44</v>
      </c>
      <c r="M34" s="33" t="s">
        <v>139</v>
      </c>
      <c r="N34" s="26" t="s">
        <v>83</v>
      </c>
      <c r="O34" s="26">
        <v>0.61</v>
      </c>
      <c r="P34" s="26">
        <v>0.35</v>
      </c>
      <c r="Q34" s="73">
        <v>35.130000000000003</v>
      </c>
      <c r="R34" s="27" t="s">
        <v>84</v>
      </c>
      <c r="S34" s="26"/>
      <c r="T34" s="26" t="s">
        <v>85</v>
      </c>
      <c r="U34" s="26" t="s">
        <v>140</v>
      </c>
      <c r="V34" s="72">
        <v>1.74</v>
      </c>
      <c r="W34" s="26">
        <v>0.184</v>
      </c>
      <c r="X34" s="26">
        <v>28009</v>
      </c>
      <c r="Y34" s="26">
        <v>93</v>
      </c>
      <c r="Z34" s="26">
        <v>20.2</v>
      </c>
      <c r="AA34" s="26">
        <v>1.7689999999999999</v>
      </c>
      <c r="AB34" s="26">
        <v>0.14199999999999999</v>
      </c>
      <c r="AC34" s="26">
        <v>74.2</v>
      </c>
      <c r="AD34" s="26"/>
      <c r="AE34" s="26"/>
      <c r="AF34" s="26"/>
      <c r="AG34" s="26"/>
      <c r="AH34" s="26"/>
      <c r="AI34" s="26"/>
      <c r="AJ34" s="26"/>
      <c r="AK34" s="26"/>
      <c r="AL34" s="26"/>
    </row>
    <row r="35" spans="1:38">
      <c r="A35" s="18" t="s">
        <v>38</v>
      </c>
      <c r="B35" s="19" t="s">
        <v>39</v>
      </c>
      <c r="C35" s="4" t="s">
        <v>141</v>
      </c>
      <c r="D35" s="4" t="s">
        <v>141</v>
      </c>
      <c r="E35" s="20" t="s">
        <v>127</v>
      </c>
      <c r="F35" s="4" t="s">
        <v>141</v>
      </c>
      <c r="G35" s="8" t="s">
        <v>128</v>
      </c>
      <c r="I35" s="8" t="s">
        <v>129</v>
      </c>
      <c r="L35" s="13" t="s">
        <v>44</v>
      </c>
      <c r="M35" s="33" t="s">
        <v>142</v>
      </c>
      <c r="N35" s="26" t="s">
        <v>83</v>
      </c>
      <c r="O35" s="26">
        <v>0.95</v>
      </c>
      <c r="P35" s="26">
        <v>0.25</v>
      </c>
      <c r="Q35" s="26">
        <v>23.59</v>
      </c>
      <c r="R35" s="27" t="s">
        <v>84</v>
      </c>
      <c r="S35" s="26"/>
      <c r="T35" s="26" t="s">
        <v>85</v>
      </c>
      <c r="U35" s="26" t="s">
        <v>143</v>
      </c>
      <c r="V35" s="47">
        <v>1.931</v>
      </c>
      <c r="W35" s="26">
        <v>0.13400000000000001</v>
      </c>
      <c r="X35" s="26">
        <v>21864</v>
      </c>
      <c r="Y35" s="26">
        <v>100</v>
      </c>
      <c r="Z35" s="26">
        <v>19.399999999999999</v>
      </c>
      <c r="AA35" s="26">
        <v>1.885</v>
      </c>
      <c r="AB35" s="26">
        <v>0.13</v>
      </c>
      <c r="AC35" s="26">
        <v>89.4</v>
      </c>
      <c r="AD35" s="26"/>
      <c r="AE35" s="26"/>
      <c r="AF35" s="26"/>
      <c r="AG35" s="26"/>
      <c r="AH35" s="26"/>
      <c r="AI35" s="26"/>
      <c r="AJ35" s="26"/>
      <c r="AK35" s="26"/>
      <c r="AL35" s="26"/>
    </row>
    <row r="36" spans="1:38">
      <c r="A36" s="18" t="s">
        <v>38</v>
      </c>
      <c r="B36" s="19" t="s">
        <v>39</v>
      </c>
      <c r="C36" s="4" t="s">
        <v>144</v>
      </c>
      <c r="D36" s="4" t="s">
        <v>144</v>
      </c>
      <c r="E36" s="20" t="s">
        <v>145</v>
      </c>
      <c r="F36" s="4" t="s">
        <v>144</v>
      </c>
      <c r="G36" s="8" t="s">
        <v>42</v>
      </c>
      <c r="I36" s="3" t="s">
        <v>146</v>
      </c>
      <c r="L36" s="13" t="s">
        <v>44</v>
      </c>
      <c r="M36" s="26" t="s">
        <v>51</v>
      </c>
      <c r="N36" s="26"/>
      <c r="O36" s="26"/>
      <c r="P36" s="26"/>
      <c r="Q36" s="26"/>
      <c r="R36" s="27"/>
      <c r="S36" s="26"/>
      <c r="T36" s="26"/>
      <c r="U36" s="26"/>
      <c r="V36" s="47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1:38">
      <c r="A37" s="18" t="s">
        <v>38</v>
      </c>
      <c r="B37" s="19" t="s">
        <v>39</v>
      </c>
      <c r="C37" s="4" t="s">
        <v>147</v>
      </c>
      <c r="D37" s="4" t="s">
        <v>147</v>
      </c>
      <c r="E37" s="20" t="s">
        <v>145</v>
      </c>
      <c r="F37" s="4" t="s">
        <v>147</v>
      </c>
      <c r="G37" s="8" t="s">
        <v>42</v>
      </c>
      <c r="I37" s="3" t="s">
        <v>146</v>
      </c>
      <c r="L37" s="13" t="s">
        <v>44</v>
      </c>
      <c r="M37" s="26" t="s">
        <v>106</v>
      </c>
      <c r="N37" s="26"/>
      <c r="O37" s="26"/>
      <c r="P37" s="26"/>
      <c r="Q37" s="26"/>
      <c r="R37" s="27"/>
      <c r="S37" s="26"/>
      <c r="T37" s="26"/>
      <c r="U37" s="26"/>
      <c r="V37" s="47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1:38">
      <c r="A38" s="18" t="s">
        <v>38</v>
      </c>
      <c r="B38" s="19" t="s">
        <v>39</v>
      </c>
      <c r="C38" s="4" t="s">
        <v>148</v>
      </c>
      <c r="D38" s="4" t="s">
        <v>148</v>
      </c>
      <c r="E38" s="20" t="s">
        <v>145</v>
      </c>
      <c r="F38" s="4" t="s">
        <v>148</v>
      </c>
      <c r="G38" s="8" t="s">
        <v>42</v>
      </c>
      <c r="I38" s="3" t="s">
        <v>146</v>
      </c>
      <c r="L38" s="13" t="s">
        <v>44</v>
      </c>
      <c r="M38" s="26" t="s">
        <v>117</v>
      </c>
      <c r="N38" s="34"/>
      <c r="O38" s="26"/>
      <c r="P38" s="26"/>
      <c r="Q38" s="26"/>
      <c r="R38" s="27"/>
      <c r="S38" s="26"/>
      <c r="T38" s="26"/>
      <c r="U38" s="26"/>
      <c r="V38" s="47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1:38">
      <c r="A39" s="18" t="s">
        <v>38</v>
      </c>
      <c r="B39" s="19" t="s">
        <v>39</v>
      </c>
      <c r="C39" s="4" t="s">
        <v>149</v>
      </c>
      <c r="D39" s="4" t="s">
        <v>149</v>
      </c>
      <c r="E39" s="20" t="s">
        <v>145</v>
      </c>
      <c r="F39" s="4" t="s">
        <v>149</v>
      </c>
      <c r="G39" s="8" t="s">
        <v>42</v>
      </c>
      <c r="I39" s="3" t="s">
        <v>146</v>
      </c>
      <c r="L39" s="13" t="s">
        <v>44</v>
      </c>
      <c r="M39" s="26" t="s">
        <v>106</v>
      </c>
      <c r="N39" s="26"/>
      <c r="O39" s="26"/>
      <c r="P39" s="26"/>
      <c r="Q39" s="26"/>
      <c r="R39" s="27"/>
      <c r="S39" s="26"/>
      <c r="T39" s="26"/>
      <c r="U39" s="26"/>
      <c r="V39" s="47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1:38">
      <c r="A40" s="18" t="s">
        <v>38</v>
      </c>
      <c r="B40" s="19" t="s">
        <v>39</v>
      </c>
      <c r="C40" s="4" t="s">
        <v>150</v>
      </c>
      <c r="D40" s="4" t="s">
        <v>150</v>
      </c>
      <c r="E40" s="20" t="s">
        <v>145</v>
      </c>
      <c r="F40" s="4" t="s">
        <v>150</v>
      </c>
      <c r="G40" s="8" t="s">
        <v>42</v>
      </c>
      <c r="I40" s="3" t="s">
        <v>146</v>
      </c>
      <c r="L40" s="13" t="s">
        <v>44</v>
      </c>
      <c r="M40" s="26" t="s">
        <v>120</v>
      </c>
      <c r="N40" s="26"/>
      <c r="O40" s="26"/>
      <c r="P40" s="26"/>
      <c r="Q40" s="26"/>
      <c r="R40" s="27"/>
      <c r="S40" s="26"/>
      <c r="T40" s="26"/>
      <c r="U40" s="26"/>
      <c r="V40" s="47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1:38">
      <c r="A41" s="18" t="s">
        <v>38</v>
      </c>
      <c r="B41" s="19" t="s">
        <v>39</v>
      </c>
      <c r="C41" s="4" t="s">
        <v>151</v>
      </c>
      <c r="D41" s="4" t="s">
        <v>151</v>
      </c>
      <c r="E41" s="30" t="s">
        <v>152</v>
      </c>
      <c r="F41" s="4" t="s">
        <v>151</v>
      </c>
      <c r="G41" s="8"/>
      <c r="I41" s="31" t="s">
        <v>153</v>
      </c>
      <c r="L41" s="13" t="s">
        <v>44</v>
      </c>
      <c r="M41" s="33" t="s">
        <v>154</v>
      </c>
      <c r="N41" s="26" t="s">
        <v>155</v>
      </c>
      <c r="O41" s="26">
        <v>0.92</v>
      </c>
      <c r="P41" s="26">
        <v>0.15</v>
      </c>
      <c r="Q41" s="26">
        <v>23.02</v>
      </c>
      <c r="R41" s="27" t="s">
        <v>84</v>
      </c>
      <c r="S41" s="26"/>
      <c r="T41" s="26" t="s">
        <v>85</v>
      </c>
      <c r="U41" s="26" t="s">
        <v>156</v>
      </c>
      <c r="V41" s="47">
        <v>1.9690000000000001</v>
      </c>
      <c r="W41" s="26">
        <v>9.1999999999999998E-2</v>
      </c>
      <c r="X41" s="26">
        <v>19970</v>
      </c>
      <c r="Y41" s="26">
        <v>97</v>
      </c>
      <c r="Z41" s="26">
        <v>10.8</v>
      </c>
      <c r="AA41" s="26">
        <v>1.782</v>
      </c>
      <c r="AB41" s="26">
        <v>9.4E-2</v>
      </c>
      <c r="AC41" s="26"/>
      <c r="AD41" s="26"/>
      <c r="AE41" s="26"/>
      <c r="AF41" s="26"/>
      <c r="AG41" s="26"/>
      <c r="AH41" s="26"/>
      <c r="AI41" s="26">
        <v>3617.4140000000002</v>
      </c>
      <c r="AJ41" s="26">
        <v>63.2</v>
      </c>
      <c r="AK41" s="26"/>
      <c r="AL41" s="26"/>
    </row>
    <row r="42" spans="1:38">
      <c r="A42" s="18" t="s">
        <v>38</v>
      </c>
      <c r="B42" s="19" t="s">
        <v>39</v>
      </c>
      <c r="C42" s="4" t="s">
        <v>157</v>
      </c>
      <c r="D42" s="4" t="s">
        <v>157</v>
      </c>
      <c r="E42" s="20" t="s">
        <v>152</v>
      </c>
      <c r="F42" s="4" t="s">
        <v>157</v>
      </c>
      <c r="G42" s="8"/>
      <c r="I42" s="8" t="s">
        <v>158</v>
      </c>
      <c r="L42" s="13" t="s">
        <v>44</v>
      </c>
      <c r="M42" s="33" t="s">
        <v>159</v>
      </c>
      <c r="N42" s="26" t="s">
        <v>83</v>
      </c>
      <c r="O42" s="26">
        <v>0.64</v>
      </c>
      <c r="P42" s="26">
        <v>0.4</v>
      </c>
      <c r="Q42" s="26">
        <v>20.96</v>
      </c>
      <c r="R42" s="27" t="s">
        <v>84</v>
      </c>
      <c r="S42" s="26"/>
      <c r="T42" s="26" t="s">
        <v>85</v>
      </c>
      <c r="U42" s="26" t="s">
        <v>160</v>
      </c>
      <c r="V42" s="47">
        <v>1.7110000000000001</v>
      </c>
      <c r="W42" s="26">
        <v>0.13900000000000001</v>
      </c>
      <c r="X42" s="26">
        <v>28784</v>
      </c>
      <c r="Y42" s="26">
        <v>92</v>
      </c>
      <c r="Z42" s="26">
        <v>16.7</v>
      </c>
      <c r="AA42" s="26">
        <v>1.65</v>
      </c>
      <c r="AB42" s="26">
        <v>0.125</v>
      </c>
      <c r="AC42" s="26">
        <v>70.400000000000006</v>
      </c>
      <c r="AD42" s="26"/>
      <c r="AE42" s="26"/>
      <c r="AF42" s="26"/>
      <c r="AG42" s="26"/>
      <c r="AH42" s="26"/>
      <c r="AI42" s="26"/>
      <c r="AJ42" s="26"/>
      <c r="AK42" s="26"/>
      <c r="AL42" s="26"/>
    </row>
    <row r="43" spans="1:38">
      <c r="A43" s="18" t="s">
        <v>38</v>
      </c>
      <c r="B43" s="19" t="s">
        <v>39</v>
      </c>
      <c r="C43" s="4" t="s">
        <v>161</v>
      </c>
      <c r="D43" s="4" t="s">
        <v>161</v>
      </c>
      <c r="E43" s="20" t="s">
        <v>152</v>
      </c>
      <c r="F43" s="4" t="s">
        <v>161</v>
      </c>
      <c r="G43" s="8"/>
      <c r="I43" s="8" t="s">
        <v>158</v>
      </c>
      <c r="L43" s="13" t="s">
        <v>44</v>
      </c>
      <c r="M43" s="33" t="s">
        <v>162</v>
      </c>
      <c r="N43" s="26" t="s">
        <v>83</v>
      </c>
      <c r="O43" s="26">
        <v>0.93</v>
      </c>
      <c r="P43" s="26">
        <v>0.2</v>
      </c>
      <c r="Q43" s="26">
        <v>16.43</v>
      </c>
      <c r="R43" s="27" t="s">
        <v>84</v>
      </c>
      <c r="S43" s="26"/>
      <c r="T43" s="26" t="s">
        <v>85</v>
      </c>
      <c r="U43" s="26" t="s">
        <v>163</v>
      </c>
      <c r="V43" s="47">
        <v>1.6759999999999999</v>
      </c>
      <c r="W43" s="26">
        <v>0.151</v>
      </c>
      <c r="X43" s="26">
        <v>32424</v>
      </c>
      <c r="Y43" s="26">
        <v>95.7</v>
      </c>
      <c r="Z43" s="26">
        <v>18.600000000000001</v>
      </c>
      <c r="AA43" s="26">
        <v>1.6439999999999999</v>
      </c>
      <c r="AB43" s="26">
        <v>0.14099999999999999</v>
      </c>
      <c r="AC43" s="26">
        <v>82.1</v>
      </c>
      <c r="AD43" s="26"/>
      <c r="AE43" s="26"/>
      <c r="AF43" s="26"/>
      <c r="AG43" s="26"/>
      <c r="AH43" s="26"/>
      <c r="AI43" s="26"/>
      <c r="AJ43" s="26"/>
      <c r="AK43" s="26"/>
      <c r="AL43" s="26"/>
    </row>
    <row r="44" spans="1:38">
      <c r="A44" s="18" t="s">
        <v>38</v>
      </c>
      <c r="B44" s="19" t="s">
        <v>39</v>
      </c>
      <c r="C44" s="4" t="s">
        <v>164</v>
      </c>
      <c r="D44" s="4" t="s">
        <v>164</v>
      </c>
      <c r="E44" s="20" t="s">
        <v>152</v>
      </c>
      <c r="F44" s="4" t="s">
        <v>164</v>
      </c>
      <c r="G44" s="8"/>
      <c r="I44" s="8" t="s">
        <v>158</v>
      </c>
      <c r="L44" s="13" t="s">
        <v>44</v>
      </c>
      <c r="M44" s="33" t="s">
        <v>165</v>
      </c>
      <c r="N44" s="26" t="s">
        <v>83</v>
      </c>
      <c r="O44" s="26">
        <v>0.96</v>
      </c>
      <c r="P44" s="26">
        <v>0.25</v>
      </c>
      <c r="Q44" s="73">
        <v>33.86</v>
      </c>
      <c r="R44" s="27" t="s">
        <v>84</v>
      </c>
      <c r="S44" s="26"/>
      <c r="T44" s="26" t="s">
        <v>166</v>
      </c>
      <c r="U44" s="26" t="s">
        <v>167</v>
      </c>
      <c r="V44" s="72">
        <v>1.625</v>
      </c>
      <c r="W44" s="73">
        <v>7.0000000000000007E-2</v>
      </c>
      <c r="X44" s="26">
        <v>33641</v>
      </c>
      <c r="Y44" s="26">
        <v>91.7</v>
      </c>
      <c r="Z44" s="26">
        <v>20</v>
      </c>
      <c r="AA44" s="26">
        <v>1.5920000000000001</v>
      </c>
      <c r="AB44" s="26">
        <v>6.7000000000000004E-2</v>
      </c>
      <c r="AC44" s="26">
        <v>80.099999999999994</v>
      </c>
      <c r="AD44" s="26"/>
      <c r="AE44" s="26"/>
      <c r="AF44" s="26"/>
      <c r="AG44" s="26"/>
      <c r="AH44" s="26"/>
      <c r="AI44" s="26">
        <v>275.50900000000001</v>
      </c>
      <c r="AJ44" s="26">
        <v>14</v>
      </c>
      <c r="AK44" s="26"/>
      <c r="AL44" s="26"/>
    </row>
    <row r="45" spans="1:38">
      <c r="A45" s="18" t="s">
        <v>38</v>
      </c>
      <c r="B45" s="19" t="s">
        <v>39</v>
      </c>
      <c r="C45" s="4" t="s">
        <v>168</v>
      </c>
      <c r="D45" s="4" t="s">
        <v>168</v>
      </c>
      <c r="E45" s="20" t="s">
        <v>152</v>
      </c>
      <c r="F45" s="4" t="s">
        <v>169</v>
      </c>
      <c r="G45" s="8"/>
      <c r="I45" s="8" t="s">
        <v>158</v>
      </c>
      <c r="L45" s="13" t="s">
        <v>44</v>
      </c>
      <c r="M45" s="33" t="s">
        <v>170</v>
      </c>
      <c r="N45" s="26" t="s">
        <v>83</v>
      </c>
      <c r="O45" s="26">
        <v>0.91</v>
      </c>
      <c r="P45" s="26">
        <v>0.25</v>
      </c>
      <c r="Q45" s="26">
        <v>18.64</v>
      </c>
      <c r="R45" s="27" t="s">
        <v>84</v>
      </c>
      <c r="S45" s="26"/>
      <c r="T45" s="26" t="s">
        <v>85</v>
      </c>
      <c r="U45" s="26" t="s">
        <v>171</v>
      </c>
      <c r="V45" s="47">
        <v>1.84</v>
      </c>
      <c r="W45" s="26">
        <v>0.16500000000000001</v>
      </c>
      <c r="X45" s="26">
        <v>24057</v>
      </c>
      <c r="Y45" s="26">
        <v>94.8</v>
      </c>
      <c r="Z45" s="26">
        <v>17.100000000000001</v>
      </c>
      <c r="AA45" s="26">
        <v>1.8280000000000001</v>
      </c>
      <c r="AB45" s="26">
        <v>0.153</v>
      </c>
      <c r="AC45" s="26">
        <v>83.9</v>
      </c>
      <c r="AD45" s="26"/>
      <c r="AE45" s="26"/>
      <c r="AF45" s="26"/>
      <c r="AG45" s="26"/>
      <c r="AH45" s="26"/>
      <c r="AI45" s="26"/>
      <c r="AJ45" s="26"/>
      <c r="AK45" s="26"/>
      <c r="AL45" s="26"/>
    </row>
    <row r="46" spans="1:38">
      <c r="A46" s="18" t="s">
        <v>38</v>
      </c>
      <c r="B46" s="19" t="s">
        <v>39</v>
      </c>
      <c r="C46" s="4" t="s">
        <v>172</v>
      </c>
      <c r="D46" s="4" t="s">
        <v>172</v>
      </c>
      <c r="E46" s="20" t="s">
        <v>152</v>
      </c>
      <c r="F46" s="4" t="s">
        <v>172</v>
      </c>
      <c r="G46" s="8"/>
      <c r="I46" s="8" t="s">
        <v>158</v>
      </c>
      <c r="L46" s="13" t="s">
        <v>44</v>
      </c>
      <c r="M46" s="33" t="s">
        <v>173</v>
      </c>
      <c r="N46" s="26" t="s">
        <v>83</v>
      </c>
      <c r="O46" s="26">
        <v>0.96</v>
      </c>
      <c r="P46" s="26">
        <v>0.25</v>
      </c>
      <c r="Q46" s="73">
        <v>20.16</v>
      </c>
      <c r="R46" s="27" t="s">
        <v>84</v>
      </c>
      <c r="S46" s="26"/>
      <c r="T46" s="26" t="s">
        <v>166</v>
      </c>
      <c r="U46" s="26" t="s">
        <v>174</v>
      </c>
      <c r="V46" s="72">
        <v>1.577</v>
      </c>
      <c r="W46" s="26">
        <v>0.121</v>
      </c>
      <c r="X46" s="26">
        <v>38111</v>
      </c>
      <c r="Y46" s="26">
        <v>95.1</v>
      </c>
      <c r="Z46" s="26">
        <v>16.7</v>
      </c>
      <c r="AA46" s="26">
        <v>1.5129999999999999</v>
      </c>
      <c r="AB46" s="26">
        <v>0.107</v>
      </c>
      <c r="AC46" s="26">
        <v>72</v>
      </c>
      <c r="AD46" s="26"/>
      <c r="AE46" s="26"/>
      <c r="AF46" s="26"/>
      <c r="AG46" s="26"/>
      <c r="AH46" s="26"/>
      <c r="AI46" s="26">
        <v>277.35700000000003</v>
      </c>
      <c r="AJ46" s="26">
        <v>13.6</v>
      </c>
      <c r="AK46" s="26"/>
      <c r="AL46" s="26"/>
    </row>
    <row r="47" spans="1:38">
      <c r="A47" s="18" t="s">
        <v>38</v>
      </c>
      <c r="B47" s="19" t="s">
        <v>39</v>
      </c>
      <c r="C47" s="4" t="s">
        <v>175</v>
      </c>
      <c r="D47" s="4" t="s">
        <v>175</v>
      </c>
      <c r="E47" s="20" t="s">
        <v>176</v>
      </c>
      <c r="F47" s="4" t="s">
        <v>175</v>
      </c>
      <c r="G47" s="8"/>
      <c r="I47" s="8" t="s">
        <v>158</v>
      </c>
      <c r="L47" s="13" t="s">
        <v>44</v>
      </c>
      <c r="M47" s="26" t="s">
        <v>177</v>
      </c>
      <c r="N47" s="26"/>
      <c r="O47" s="26"/>
      <c r="P47" s="26"/>
      <c r="Q47" s="26"/>
      <c r="R47" s="27"/>
      <c r="S47" s="26"/>
      <c r="T47" s="26"/>
      <c r="U47" s="26"/>
      <c r="V47" s="47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1:38">
      <c r="A48" s="18" t="s">
        <v>38</v>
      </c>
      <c r="B48" s="19" t="s">
        <v>39</v>
      </c>
      <c r="C48" s="4" t="s">
        <v>178</v>
      </c>
      <c r="D48" s="4" t="s">
        <v>178</v>
      </c>
      <c r="E48" s="20" t="s">
        <v>176</v>
      </c>
      <c r="F48" s="4" t="s">
        <v>178</v>
      </c>
      <c r="G48" s="8"/>
      <c r="I48" s="8" t="s">
        <v>158</v>
      </c>
      <c r="L48" s="13" t="s">
        <v>44</v>
      </c>
      <c r="M48" s="26"/>
      <c r="N48" s="26" t="s">
        <v>83</v>
      </c>
      <c r="O48" s="26">
        <v>0.73</v>
      </c>
      <c r="P48" s="26">
        <v>0.3</v>
      </c>
      <c r="Q48" s="26">
        <v>19.61</v>
      </c>
      <c r="R48" s="27" t="s">
        <v>84</v>
      </c>
      <c r="S48" s="26"/>
      <c r="T48" s="26" t="s">
        <v>166</v>
      </c>
      <c r="U48" s="26" t="s">
        <v>179</v>
      </c>
      <c r="V48" s="47">
        <v>1.3160000000000001</v>
      </c>
      <c r="W48" s="26">
        <v>0.112</v>
      </c>
      <c r="X48" s="26">
        <v>64536</v>
      </c>
      <c r="Y48" s="26">
        <v>93.6</v>
      </c>
      <c r="Z48" s="26">
        <v>14.3</v>
      </c>
      <c r="AA48" s="26">
        <v>1.3540000000000001</v>
      </c>
      <c r="AB48" s="26">
        <v>8.6999999999999994E-2</v>
      </c>
      <c r="AC48" s="26">
        <v>72.7</v>
      </c>
      <c r="AD48" s="26"/>
      <c r="AE48" s="26"/>
      <c r="AF48" s="26"/>
      <c r="AG48" s="26"/>
      <c r="AH48" s="26"/>
      <c r="AI48" s="26">
        <v>614.82600000000002</v>
      </c>
      <c r="AJ48" s="26">
        <v>19.2</v>
      </c>
      <c r="AK48" s="26"/>
      <c r="AL48" s="26"/>
    </row>
    <row r="49" spans="1:38">
      <c r="A49" s="18"/>
      <c r="B49" s="19"/>
      <c r="C49" s="4"/>
      <c r="D49" s="4"/>
      <c r="E49" s="20"/>
      <c r="F49" s="4"/>
      <c r="G49" s="8"/>
      <c r="I49" s="8"/>
      <c r="L49" s="13"/>
      <c r="M49" s="26" t="s">
        <v>180</v>
      </c>
      <c r="N49" s="26" t="s">
        <v>83</v>
      </c>
      <c r="O49" s="26">
        <v>0.66700000000000004</v>
      </c>
      <c r="P49" s="26">
        <v>0.3</v>
      </c>
      <c r="Q49" s="26">
        <v>19.579999999999998</v>
      </c>
      <c r="R49" s="27" t="s">
        <v>84</v>
      </c>
      <c r="S49" s="26"/>
      <c r="T49" s="26" t="s">
        <v>85</v>
      </c>
      <c r="U49" s="26" t="s">
        <v>181</v>
      </c>
      <c r="V49" s="47">
        <v>1.3180000000000001</v>
      </c>
      <c r="W49" s="26">
        <v>0.11899999999999999</v>
      </c>
      <c r="X49" s="26">
        <v>64131</v>
      </c>
      <c r="Y49" s="26">
        <v>93.4</v>
      </c>
      <c r="Z49" s="26">
        <v>14.6</v>
      </c>
      <c r="AA49" s="26">
        <v>1.343</v>
      </c>
      <c r="AB49" s="26">
        <v>9.0999999999999998E-2</v>
      </c>
      <c r="AC49" s="26">
        <v>71.099999999999994</v>
      </c>
      <c r="AD49" s="26"/>
      <c r="AE49" s="26"/>
      <c r="AF49" s="26"/>
      <c r="AG49" s="26"/>
      <c r="AH49" s="26"/>
      <c r="AI49" s="26">
        <v>15059.28</v>
      </c>
      <c r="AJ49" s="26">
        <v>60.5</v>
      </c>
      <c r="AK49" s="26"/>
      <c r="AL49" s="26"/>
    </row>
    <row r="50" spans="1:38">
      <c r="A50" s="18" t="s">
        <v>38</v>
      </c>
      <c r="B50" s="19" t="s">
        <v>39</v>
      </c>
      <c r="C50" s="4" t="s">
        <v>182</v>
      </c>
      <c r="D50" s="4" t="s">
        <v>182</v>
      </c>
      <c r="E50" s="20" t="s">
        <v>102</v>
      </c>
      <c r="F50" s="4" t="s">
        <v>182</v>
      </c>
      <c r="G50" s="8"/>
      <c r="I50" s="8" t="s">
        <v>183</v>
      </c>
      <c r="L50" s="13" t="s">
        <v>44</v>
      </c>
      <c r="M50" s="33" t="s">
        <v>184</v>
      </c>
      <c r="N50" s="26"/>
      <c r="O50" s="26"/>
      <c r="P50" s="26"/>
      <c r="Q50" s="26"/>
      <c r="R50" s="27"/>
      <c r="S50" s="26"/>
      <c r="T50" s="26"/>
      <c r="U50" s="26"/>
      <c r="V50" s="47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1:38">
      <c r="A51" s="18" t="s">
        <v>38</v>
      </c>
      <c r="B51" s="19" t="s">
        <v>39</v>
      </c>
      <c r="C51" s="4" t="s">
        <v>185</v>
      </c>
      <c r="D51" s="4" t="s">
        <v>185</v>
      </c>
      <c r="E51" s="20" t="s">
        <v>102</v>
      </c>
      <c r="F51" s="4" t="s">
        <v>185</v>
      </c>
      <c r="G51" s="8"/>
      <c r="I51" s="8" t="s">
        <v>183</v>
      </c>
      <c r="L51" s="13" t="s">
        <v>44</v>
      </c>
      <c r="M51" s="26" t="s">
        <v>186</v>
      </c>
      <c r="N51" s="26"/>
      <c r="O51" s="26"/>
      <c r="P51" s="26"/>
      <c r="Q51" s="26"/>
      <c r="R51" s="27"/>
      <c r="S51" s="26"/>
      <c r="T51" s="26"/>
      <c r="U51" s="26"/>
      <c r="V51" s="47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1:38">
      <c r="A52" s="18" t="s">
        <v>38</v>
      </c>
      <c r="B52" s="19" t="s">
        <v>39</v>
      </c>
      <c r="C52" s="4" t="s">
        <v>187</v>
      </c>
      <c r="D52" s="4" t="s">
        <v>187</v>
      </c>
      <c r="E52" s="20" t="s">
        <v>102</v>
      </c>
      <c r="F52" s="4" t="s">
        <v>187</v>
      </c>
      <c r="G52" s="41"/>
      <c r="I52" s="41" t="s">
        <v>183</v>
      </c>
      <c r="L52" s="42" t="s">
        <v>44</v>
      </c>
      <c r="M52" s="26" t="s">
        <v>188</v>
      </c>
      <c r="N52" s="26"/>
      <c r="O52" s="39" t="s">
        <v>189</v>
      </c>
      <c r="P52" s="26"/>
      <c r="Q52" s="26"/>
      <c r="R52" s="27"/>
      <c r="S52" s="26"/>
      <c r="T52" s="26"/>
      <c r="U52" s="26"/>
      <c r="V52" s="47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1:38">
      <c r="A53" s="18"/>
      <c r="B53" s="19"/>
      <c r="C53" s="4"/>
      <c r="D53" s="4"/>
      <c r="E53" s="40"/>
      <c r="F53" s="4" t="s">
        <v>190</v>
      </c>
      <c r="G53" s="41"/>
      <c r="I53" s="41"/>
      <c r="L53" s="42"/>
      <c r="M53" s="26"/>
      <c r="N53" s="26" t="s">
        <v>191</v>
      </c>
      <c r="O53" s="26">
        <v>0.38400000000000001</v>
      </c>
      <c r="P53" s="26">
        <v>0.2</v>
      </c>
      <c r="Q53" s="26">
        <v>19.23</v>
      </c>
      <c r="R53" s="27" t="s">
        <v>84</v>
      </c>
      <c r="S53" s="26"/>
      <c r="T53" s="26" t="s">
        <v>90</v>
      </c>
      <c r="U53" s="26" t="s">
        <v>192</v>
      </c>
      <c r="V53" s="47">
        <v>3.2240000000000002</v>
      </c>
      <c r="W53" s="26">
        <v>0.25900000000000001</v>
      </c>
      <c r="X53" s="26">
        <v>3537</v>
      </c>
      <c r="Y53" s="26">
        <v>90.4</v>
      </c>
      <c r="Z53" s="26">
        <v>2.9</v>
      </c>
      <c r="AA53" s="26">
        <v>2.371</v>
      </c>
      <c r="AB53" s="26">
        <v>0.26800000000000002</v>
      </c>
      <c r="AC53" s="26">
        <v>45.5</v>
      </c>
      <c r="AD53" s="26"/>
      <c r="AE53" s="26"/>
      <c r="AF53" s="26"/>
      <c r="AG53" s="26"/>
      <c r="AH53" s="26"/>
      <c r="AI53" s="26"/>
      <c r="AJ53" s="26"/>
      <c r="AK53" s="26"/>
      <c r="AL53" s="26"/>
    </row>
    <row r="54" spans="1:38">
      <c r="A54" s="18" t="s">
        <v>38</v>
      </c>
      <c r="B54" s="19" t="s">
        <v>39</v>
      </c>
      <c r="C54" s="4" t="s">
        <v>193</v>
      </c>
      <c r="D54" s="4" t="s">
        <v>193</v>
      </c>
      <c r="E54" s="20" t="s">
        <v>194</v>
      </c>
      <c r="F54" s="4" t="s">
        <v>193</v>
      </c>
      <c r="G54" s="8"/>
      <c r="I54" s="8" t="s">
        <v>195</v>
      </c>
      <c r="L54" s="13" t="s">
        <v>44</v>
      </c>
      <c r="M54" s="26" t="s">
        <v>196</v>
      </c>
      <c r="N54" s="26"/>
      <c r="O54" s="26"/>
      <c r="P54" s="26"/>
      <c r="Q54" s="26"/>
      <c r="R54" s="27"/>
      <c r="S54" s="26"/>
      <c r="T54" s="26"/>
      <c r="U54" s="26"/>
      <c r="V54" s="47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1:38">
      <c r="A55" s="18" t="s">
        <v>38</v>
      </c>
      <c r="B55" s="19" t="s">
        <v>39</v>
      </c>
      <c r="C55" s="4" t="s">
        <v>197</v>
      </c>
      <c r="D55" s="4" t="s">
        <v>197</v>
      </c>
      <c r="E55" s="20" t="s">
        <v>194</v>
      </c>
      <c r="F55" s="4" t="s">
        <v>197</v>
      </c>
      <c r="G55" s="8"/>
      <c r="I55" s="8" t="s">
        <v>195</v>
      </c>
      <c r="L55" s="13" t="s">
        <v>44</v>
      </c>
      <c r="M55" s="26" t="s">
        <v>198</v>
      </c>
      <c r="N55" s="26"/>
      <c r="O55" s="26"/>
      <c r="P55" s="26"/>
      <c r="Q55" s="26"/>
      <c r="R55" s="27"/>
      <c r="S55" s="26"/>
      <c r="T55" s="26"/>
      <c r="U55" s="26"/>
      <c r="V55" s="47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1:38">
      <c r="A56" s="18" t="s">
        <v>38</v>
      </c>
      <c r="B56" s="19" t="s">
        <v>39</v>
      </c>
      <c r="C56" s="4" t="s">
        <v>199</v>
      </c>
      <c r="D56" s="4" t="s">
        <v>199</v>
      </c>
      <c r="E56" s="20" t="s">
        <v>194</v>
      </c>
      <c r="F56" s="4" t="s">
        <v>199</v>
      </c>
      <c r="G56" s="8"/>
      <c r="I56" s="8" t="s">
        <v>195</v>
      </c>
      <c r="L56" s="13" t="s">
        <v>44</v>
      </c>
      <c r="M56" s="70" t="s">
        <v>200</v>
      </c>
      <c r="N56" s="70" t="s">
        <v>201</v>
      </c>
      <c r="O56" s="70">
        <v>0.66</v>
      </c>
      <c r="P56" s="70">
        <v>0.2</v>
      </c>
      <c r="Q56" s="70">
        <v>26.4</v>
      </c>
      <c r="R56" s="71" t="s">
        <v>84</v>
      </c>
      <c r="S56" s="70"/>
      <c r="T56" s="70" t="s">
        <v>202</v>
      </c>
      <c r="U56" s="70" t="s">
        <v>203</v>
      </c>
      <c r="V56" s="47">
        <v>2.1139999999999999</v>
      </c>
      <c r="W56" s="70">
        <v>0.112</v>
      </c>
      <c r="X56" s="70">
        <v>4168</v>
      </c>
      <c r="Y56" s="70">
        <v>96.1</v>
      </c>
      <c r="Z56" s="70">
        <v>18.100000000000001</v>
      </c>
      <c r="AA56" s="70">
        <v>2.12</v>
      </c>
      <c r="AB56" s="70">
        <v>8.8999999999999996E-2</v>
      </c>
      <c r="AC56" s="70">
        <v>72.599999999999994</v>
      </c>
      <c r="AD56" s="26"/>
      <c r="AE56" s="26"/>
      <c r="AF56" s="26"/>
      <c r="AG56" s="26"/>
      <c r="AH56" s="26"/>
      <c r="AI56" s="26"/>
      <c r="AJ56" s="26"/>
      <c r="AK56" s="26"/>
      <c r="AL56" s="26"/>
    </row>
    <row r="57" spans="1:38">
      <c r="A57" s="18"/>
      <c r="B57" s="19"/>
      <c r="C57" s="4"/>
      <c r="D57" s="4"/>
      <c r="E57" s="20" t="s">
        <v>194</v>
      </c>
      <c r="F57" s="4"/>
      <c r="G57" s="8"/>
      <c r="I57" s="8"/>
      <c r="L57" s="13"/>
      <c r="M57" s="33" t="s">
        <v>204</v>
      </c>
      <c r="N57" s="26"/>
      <c r="O57" s="26"/>
      <c r="P57" s="26"/>
      <c r="Q57" s="26"/>
      <c r="R57" s="27"/>
      <c r="S57" s="26"/>
      <c r="T57" s="26"/>
      <c r="U57" s="26"/>
      <c r="V57" s="47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1:38">
      <c r="A58" s="18" t="s">
        <v>38</v>
      </c>
      <c r="B58" s="19" t="s">
        <v>39</v>
      </c>
      <c r="C58" s="4" t="s">
        <v>205</v>
      </c>
      <c r="D58" s="4" t="s">
        <v>205</v>
      </c>
      <c r="E58" s="20" t="s">
        <v>194</v>
      </c>
      <c r="F58" s="4" t="s">
        <v>205</v>
      </c>
      <c r="G58" s="8"/>
      <c r="I58" s="8" t="s">
        <v>195</v>
      </c>
      <c r="L58" s="13" t="s">
        <v>44</v>
      </c>
      <c r="M58" s="26" t="s">
        <v>206</v>
      </c>
      <c r="N58" s="26"/>
      <c r="O58" s="26"/>
      <c r="P58" s="26"/>
      <c r="Q58" s="26"/>
      <c r="R58" s="27"/>
      <c r="S58" s="26"/>
      <c r="T58" s="26"/>
      <c r="U58" s="26"/>
      <c r="V58" s="47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1:38">
      <c r="A59" s="18" t="s">
        <v>38</v>
      </c>
      <c r="B59" s="19" t="s">
        <v>39</v>
      </c>
      <c r="C59" s="4" t="s">
        <v>207</v>
      </c>
      <c r="D59" s="4" t="s">
        <v>207</v>
      </c>
      <c r="E59" s="20" t="s">
        <v>102</v>
      </c>
      <c r="F59" s="4" t="s">
        <v>207</v>
      </c>
      <c r="G59" s="8"/>
      <c r="I59" s="8" t="s">
        <v>208</v>
      </c>
      <c r="L59" s="13" t="s">
        <v>44</v>
      </c>
      <c r="M59" s="2" t="s">
        <v>209</v>
      </c>
      <c r="N59" s="26"/>
      <c r="O59" s="26"/>
      <c r="P59" s="26"/>
      <c r="Q59" s="26"/>
      <c r="R59" s="27"/>
      <c r="S59" s="26"/>
      <c r="T59" s="26"/>
      <c r="U59" s="26"/>
      <c r="V59" s="47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1:38">
      <c r="A60" s="18" t="s">
        <v>38</v>
      </c>
      <c r="B60" s="19" t="s">
        <v>39</v>
      </c>
      <c r="C60" s="4" t="s">
        <v>210</v>
      </c>
      <c r="D60" s="4" t="s">
        <v>210</v>
      </c>
      <c r="E60" s="20" t="s">
        <v>102</v>
      </c>
      <c r="F60" s="4" t="s">
        <v>210</v>
      </c>
      <c r="G60" s="8"/>
      <c r="I60" s="8" t="s">
        <v>208</v>
      </c>
      <c r="L60" s="13" t="s">
        <v>44</v>
      </c>
      <c r="M60" s="2" t="s">
        <v>211</v>
      </c>
      <c r="N60" s="26"/>
      <c r="O60" s="26"/>
      <c r="P60" s="26"/>
      <c r="Q60" s="26"/>
      <c r="R60" s="27"/>
      <c r="S60" s="26"/>
      <c r="T60" s="26"/>
      <c r="U60" s="26"/>
      <c r="V60" s="47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1:38">
      <c r="A61" s="18" t="s">
        <v>38</v>
      </c>
      <c r="B61" s="19" t="s">
        <v>39</v>
      </c>
      <c r="C61" s="4" t="s">
        <v>212</v>
      </c>
      <c r="D61" s="4" t="s">
        <v>212</v>
      </c>
      <c r="E61" s="20" t="s">
        <v>102</v>
      </c>
      <c r="F61" s="4" t="s">
        <v>212</v>
      </c>
      <c r="G61" s="8"/>
      <c r="I61" s="8" t="s">
        <v>208</v>
      </c>
      <c r="L61" s="13" t="s">
        <v>44</v>
      </c>
      <c r="M61" s="2" t="s">
        <v>213</v>
      </c>
      <c r="N61" s="26"/>
      <c r="O61" s="26"/>
      <c r="P61" s="26"/>
      <c r="Q61" s="26"/>
      <c r="R61" s="27"/>
      <c r="S61" s="26"/>
      <c r="T61" s="26"/>
      <c r="U61" s="26"/>
      <c r="V61" s="47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1:38">
      <c r="A62" s="18" t="s">
        <v>38</v>
      </c>
      <c r="B62" s="19" t="s">
        <v>39</v>
      </c>
      <c r="C62" s="4" t="s">
        <v>214</v>
      </c>
      <c r="D62" s="4" t="s">
        <v>214</v>
      </c>
      <c r="E62" s="20" t="s">
        <v>194</v>
      </c>
      <c r="F62" s="4" t="s">
        <v>214</v>
      </c>
      <c r="G62" s="8"/>
      <c r="I62" s="8" t="s">
        <v>215</v>
      </c>
      <c r="L62" s="13" t="s">
        <v>44</v>
      </c>
      <c r="M62" s="2" t="s">
        <v>216</v>
      </c>
      <c r="N62" s="26"/>
      <c r="O62" s="26"/>
      <c r="P62" s="26"/>
      <c r="Q62" s="26"/>
      <c r="R62" s="27"/>
      <c r="S62" s="26"/>
      <c r="T62" s="26"/>
      <c r="U62" s="26"/>
      <c r="V62" s="47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1:38">
      <c r="A63" s="18" t="s">
        <v>38</v>
      </c>
      <c r="B63" s="19" t="s">
        <v>39</v>
      </c>
      <c r="C63" s="4" t="s">
        <v>217</v>
      </c>
      <c r="D63" s="4" t="s">
        <v>217</v>
      </c>
      <c r="E63" s="20" t="s">
        <v>102</v>
      </c>
      <c r="F63" s="4" t="s">
        <v>217</v>
      </c>
      <c r="G63" s="8"/>
      <c r="I63" s="8" t="s">
        <v>218</v>
      </c>
      <c r="L63" s="13" t="s">
        <v>44</v>
      </c>
      <c r="M63" s="2" t="s">
        <v>211</v>
      </c>
      <c r="N63" s="26"/>
      <c r="O63" s="26"/>
      <c r="P63" s="26"/>
      <c r="Q63" s="26"/>
      <c r="R63" s="27"/>
      <c r="S63" s="26" t="s">
        <v>64</v>
      </c>
      <c r="T63" s="26"/>
      <c r="U63" s="26"/>
      <c r="V63" s="47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1:38">
      <c r="A64" s="18" t="s">
        <v>38</v>
      </c>
      <c r="B64" s="19" t="s">
        <v>39</v>
      </c>
      <c r="C64" s="4" t="s">
        <v>219</v>
      </c>
      <c r="D64" s="4" t="s">
        <v>219</v>
      </c>
      <c r="E64" s="20" t="s">
        <v>102</v>
      </c>
      <c r="F64" s="4" t="s">
        <v>219</v>
      </c>
      <c r="G64" s="8"/>
      <c r="I64" s="8" t="s">
        <v>218</v>
      </c>
      <c r="L64" s="13" t="s">
        <v>44</v>
      </c>
      <c r="M64" s="38" t="s">
        <v>220</v>
      </c>
      <c r="N64" s="26"/>
      <c r="O64" s="39"/>
      <c r="P64" s="26"/>
      <c r="Q64" s="26"/>
      <c r="R64" s="27"/>
      <c r="S64" s="26"/>
      <c r="T64" s="26"/>
      <c r="U64" s="26"/>
      <c r="V64" s="47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1:38">
      <c r="A65" s="18" t="s">
        <v>38</v>
      </c>
      <c r="B65" s="19" t="s">
        <v>39</v>
      </c>
      <c r="C65" s="4" t="s">
        <v>221</v>
      </c>
      <c r="D65" s="4" t="s">
        <v>221</v>
      </c>
      <c r="E65" s="20" t="s">
        <v>102</v>
      </c>
      <c r="F65" s="4" t="s">
        <v>221</v>
      </c>
      <c r="G65" s="8"/>
      <c r="I65" s="8" t="s">
        <v>218</v>
      </c>
      <c r="L65" s="13" t="s">
        <v>44</v>
      </c>
      <c r="M65" s="26" t="s">
        <v>222</v>
      </c>
      <c r="N65" s="26"/>
      <c r="O65" s="26"/>
      <c r="P65" s="26"/>
      <c r="Q65" s="26"/>
      <c r="R65" s="27"/>
      <c r="S65" s="26"/>
      <c r="T65" s="26"/>
      <c r="U65" s="26"/>
      <c r="V65" s="47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1:38">
      <c r="A66" s="18" t="s">
        <v>38</v>
      </c>
      <c r="B66" s="19" t="s">
        <v>39</v>
      </c>
      <c r="C66" s="6" t="s">
        <v>223</v>
      </c>
      <c r="D66" s="6" t="s">
        <v>223</v>
      </c>
      <c r="E66" s="21" t="s">
        <v>224</v>
      </c>
      <c r="F66" s="6" t="s">
        <v>223</v>
      </c>
      <c r="G66" s="9" t="s">
        <v>225</v>
      </c>
      <c r="I66" s="9" t="s">
        <v>226</v>
      </c>
      <c r="L66" s="14" t="s">
        <v>227</v>
      </c>
      <c r="M66" s="33" t="s">
        <v>228</v>
      </c>
      <c r="N66" s="26" t="s">
        <v>229</v>
      </c>
      <c r="O66" s="26">
        <f>(13.2)/(100-62)</f>
        <v>0.34736842105263155</v>
      </c>
      <c r="P66" s="26">
        <v>0.45</v>
      </c>
      <c r="Q66" s="26">
        <v>10.44</v>
      </c>
      <c r="R66" s="27" t="s">
        <v>84</v>
      </c>
      <c r="S66" s="26" t="s">
        <v>84</v>
      </c>
      <c r="T66" s="26" t="s">
        <v>230</v>
      </c>
      <c r="U66" s="26" t="s">
        <v>231</v>
      </c>
      <c r="V66" s="47">
        <v>2.0979999999999999</v>
      </c>
      <c r="W66" s="26">
        <v>0.33600000000000002</v>
      </c>
      <c r="X66" s="26">
        <v>8666</v>
      </c>
      <c r="Y66" s="26">
        <v>95.6</v>
      </c>
      <c r="Z66" s="26">
        <v>11.3</v>
      </c>
      <c r="AA66" s="26">
        <v>1.9079999999999999</v>
      </c>
      <c r="AB66" s="26">
        <v>0.33300000000000002</v>
      </c>
      <c r="AC66" s="26">
        <v>72.599999999999994</v>
      </c>
      <c r="AD66" s="26" t="s">
        <v>232</v>
      </c>
      <c r="AE66" s="26">
        <v>16.763999999999999</v>
      </c>
      <c r="AF66" s="44">
        <v>7.0580000000000004E-2</v>
      </c>
      <c r="AG66" s="45" t="s">
        <v>233</v>
      </c>
      <c r="AH66" s="26"/>
      <c r="AI66" s="26"/>
      <c r="AJ66" s="26"/>
      <c r="AK66" s="26"/>
      <c r="AL66" s="26"/>
    </row>
    <row r="67" spans="1:38">
      <c r="A67" s="18" t="s">
        <v>38</v>
      </c>
      <c r="B67" s="19" t="s">
        <v>39</v>
      </c>
      <c r="C67" s="4" t="s">
        <v>234</v>
      </c>
      <c r="D67" s="4" t="s">
        <v>234</v>
      </c>
      <c r="E67" s="22" t="s">
        <v>235</v>
      </c>
      <c r="F67" s="4" t="s">
        <v>234</v>
      </c>
      <c r="G67" s="10" t="s">
        <v>236</v>
      </c>
      <c r="I67" s="10" t="s">
        <v>237</v>
      </c>
      <c r="L67" s="15" t="s">
        <v>238</v>
      </c>
      <c r="M67" s="26" t="s">
        <v>239</v>
      </c>
      <c r="N67" s="26"/>
      <c r="O67" s="26"/>
      <c r="P67" s="26"/>
      <c r="Q67" s="26"/>
      <c r="R67" s="27"/>
      <c r="S67" s="26"/>
      <c r="T67" s="26"/>
      <c r="U67" s="26"/>
      <c r="V67" s="47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1:38">
      <c r="A68" s="18" t="s">
        <v>38</v>
      </c>
      <c r="B68" s="19" t="s">
        <v>39</v>
      </c>
      <c r="C68" s="4" t="s">
        <v>240</v>
      </c>
      <c r="D68" s="4" t="s">
        <v>240</v>
      </c>
      <c r="E68" s="22" t="s">
        <v>235</v>
      </c>
      <c r="F68" s="4" t="s">
        <v>240</v>
      </c>
      <c r="G68" s="10" t="s">
        <v>236</v>
      </c>
      <c r="I68" s="10" t="s">
        <v>237</v>
      </c>
      <c r="L68" s="15" t="s">
        <v>238</v>
      </c>
      <c r="M68" s="26" t="s">
        <v>241</v>
      </c>
      <c r="N68" s="26"/>
      <c r="O68" s="26"/>
      <c r="P68" s="26"/>
      <c r="Q68" s="26"/>
      <c r="R68" s="27"/>
      <c r="S68" s="26"/>
      <c r="T68" s="26"/>
      <c r="U68" s="26"/>
      <c r="V68" s="47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1:38">
      <c r="A69" s="18" t="s">
        <v>38</v>
      </c>
      <c r="B69" s="19" t="s">
        <v>39</v>
      </c>
      <c r="C69" s="4" t="s">
        <v>242</v>
      </c>
      <c r="D69" s="4" t="s">
        <v>242</v>
      </c>
      <c r="E69" s="22" t="s">
        <v>235</v>
      </c>
      <c r="F69" s="4" t="s">
        <v>242</v>
      </c>
      <c r="G69" s="10" t="s">
        <v>236</v>
      </c>
      <c r="I69" s="10" t="s">
        <v>237</v>
      </c>
      <c r="L69" s="15" t="s">
        <v>238</v>
      </c>
      <c r="M69" s="26" t="s">
        <v>243</v>
      </c>
      <c r="N69" s="26"/>
      <c r="O69" s="26"/>
      <c r="P69" s="26"/>
      <c r="Q69" s="26"/>
      <c r="R69" s="27"/>
      <c r="S69" s="26"/>
      <c r="T69" s="26"/>
      <c r="U69" s="26"/>
      <c r="V69" s="47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1:38">
      <c r="A70" s="18" t="s">
        <v>38</v>
      </c>
      <c r="B70" s="19" t="s">
        <v>39</v>
      </c>
      <c r="C70" s="4" t="s">
        <v>244</v>
      </c>
      <c r="D70" s="4" t="s">
        <v>244</v>
      </c>
      <c r="E70" s="22" t="s">
        <v>235</v>
      </c>
      <c r="F70" s="4" t="s">
        <v>244</v>
      </c>
      <c r="G70" s="10" t="s">
        <v>236</v>
      </c>
      <c r="I70" s="10" t="s">
        <v>237</v>
      </c>
      <c r="L70" s="15" t="s">
        <v>238</v>
      </c>
      <c r="M70" s="26" t="s">
        <v>245</v>
      </c>
      <c r="N70" s="26"/>
      <c r="O70" s="26"/>
      <c r="P70" s="39"/>
      <c r="Q70" s="26"/>
      <c r="R70" s="27"/>
      <c r="S70" s="26"/>
      <c r="T70" s="26"/>
      <c r="U70" s="26"/>
      <c r="V70" s="47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1:38">
      <c r="A71" s="18" t="s">
        <v>38</v>
      </c>
      <c r="B71" s="19" t="s">
        <v>39</v>
      </c>
      <c r="C71" s="4" t="s">
        <v>246</v>
      </c>
      <c r="D71" s="4" t="s">
        <v>246</v>
      </c>
      <c r="E71" s="22" t="s">
        <v>235</v>
      </c>
      <c r="F71" s="4" t="s">
        <v>246</v>
      </c>
      <c r="G71" s="10" t="s">
        <v>236</v>
      </c>
      <c r="I71" s="10" t="s">
        <v>237</v>
      </c>
      <c r="L71" s="15" t="s">
        <v>238</v>
      </c>
      <c r="M71" s="26" t="s">
        <v>47</v>
      </c>
      <c r="N71" s="26"/>
      <c r="O71" s="26"/>
      <c r="P71" s="26"/>
      <c r="Q71" s="26"/>
      <c r="R71" s="27"/>
      <c r="S71" s="26"/>
      <c r="T71" s="26"/>
      <c r="U71" s="26"/>
      <c r="V71" s="47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1:38" s="54" customFormat="1">
      <c r="A72" s="49" t="s">
        <v>38</v>
      </c>
      <c r="B72" s="50" t="s">
        <v>39</v>
      </c>
      <c r="C72" s="51" t="s">
        <v>247</v>
      </c>
      <c r="D72" s="51" t="s">
        <v>247</v>
      </c>
      <c r="E72" s="52" t="s">
        <v>235</v>
      </c>
      <c r="F72" s="51" t="s">
        <v>247</v>
      </c>
      <c r="G72" s="53" t="s">
        <v>236</v>
      </c>
      <c r="I72" s="53" t="s">
        <v>237</v>
      </c>
      <c r="L72" s="55" t="s">
        <v>238</v>
      </c>
      <c r="M72" s="56" t="s">
        <v>248</v>
      </c>
      <c r="N72" s="56" t="s">
        <v>229</v>
      </c>
      <c r="O72" s="56">
        <v>0.35899999999999999</v>
      </c>
      <c r="P72" s="56">
        <v>0.25</v>
      </c>
      <c r="Q72" s="56">
        <v>9.16</v>
      </c>
      <c r="R72" s="57" t="s">
        <v>84</v>
      </c>
      <c r="S72" s="56"/>
      <c r="T72" s="56" t="s">
        <v>249</v>
      </c>
      <c r="U72" s="56" t="s">
        <v>250</v>
      </c>
      <c r="V72" s="56">
        <v>1.9319999999999999</v>
      </c>
      <c r="W72" s="56">
        <v>0.17</v>
      </c>
      <c r="X72" s="56">
        <v>9428</v>
      </c>
      <c r="Y72" s="56">
        <v>76.8</v>
      </c>
      <c r="Z72" s="56">
        <v>19.100000000000001</v>
      </c>
      <c r="AA72" s="56">
        <v>1.9570000000000001</v>
      </c>
      <c r="AB72" s="56">
        <v>0.16900000000000001</v>
      </c>
      <c r="AC72" s="56">
        <v>73.8</v>
      </c>
      <c r="AD72" s="56"/>
      <c r="AE72" s="56"/>
      <c r="AF72" s="56"/>
      <c r="AG72" s="56"/>
      <c r="AH72" s="56"/>
      <c r="AI72" s="56"/>
      <c r="AJ72" s="56"/>
      <c r="AK72" s="56"/>
      <c r="AL72" s="56"/>
    </row>
    <row r="73" spans="1:38" s="54" customFormat="1">
      <c r="A73" s="49" t="s">
        <v>38</v>
      </c>
      <c r="B73" s="50" t="s">
        <v>39</v>
      </c>
      <c r="C73" s="51" t="s">
        <v>251</v>
      </c>
      <c r="D73" s="51" t="s">
        <v>251</v>
      </c>
      <c r="E73" s="52" t="s">
        <v>235</v>
      </c>
      <c r="F73" s="51" t="s">
        <v>251</v>
      </c>
      <c r="G73" s="53" t="s">
        <v>236</v>
      </c>
      <c r="I73" s="53" t="s">
        <v>252</v>
      </c>
      <c r="L73" s="55" t="s">
        <v>253</v>
      </c>
      <c r="M73" s="56" t="s">
        <v>254</v>
      </c>
      <c r="N73" s="56" t="s">
        <v>229</v>
      </c>
      <c r="O73" s="56">
        <v>0.192</v>
      </c>
      <c r="P73" s="56">
        <v>0.2</v>
      </c>
      <c r="Q73" s="56">
        <v>10.220000000000001</v>
      </c>
      <c r="R73" s="57" t="s">
        <v>84</v>
      </c>
      <c r="S73" s="56"/>
      <c r="T73" s="56" t="s">
        <v>255</v>
      </c>
      <c r="U73" s="56" t="s">
        <v>256</v>
      </c>
      <c r="V73" s="56">
        <v>1.9339999999999999</v>
      </c>
      <c r="W73" s="56">
        <v>0.19800000000000001</v>
      </c>
      <c r="X73" s="54">
        <v>4292</v>
      </c>
      <c r="Y73" s="56">
        <v>99.9</v>
      </c>
      <c r="Z73" s="56">
        <v>37</v>
      </c>
      <c r="AA73" s="56">
        <v>1.9490000000000001</v>
      </c>
      <c r="AB73" s="56">
        <v>0.183</v>
      </c>
      <c r="AC73" s="56">
        <v>89</v>
      </c>
      <c r="AD73" s="56"/>
      <c r="AE73" s="56"/>
      <c r="AF73" s="56"/>
      <c r="AG73" s="56"/>
      <c r="AH73" s="56"/>
      <c r="AI73" s="56"/>
      <c r="AJ73" s="56"/>
      <c r="AK73" s="56"/>
      <c r="AL73" s="56"/>
    </row>
    <row r="74" spans="1:38">
      <c r="A74" s="18" t="s">
        <v>38</v>
      </c>
      <c r="B74" s="19" t="s">
        <v>39</v>
      </c>
      <c r="C74" s="4" t="s">
        <v>257</v>
      </c>
      <c r="D74" s="4" t="s">
        <v>257</v>
      </c>
      <c r="E74" s="22" t="s">
        <v>235</v>
      </c>
      <c r="F74" s="4" t="s">
        <v>257</v>
      </c>
      <c r="G74" s="10" t="s">
        <v>236</v>
      </c>
      <c r="I74" s="10" t="s">
        <v>252</v>
      </c>
      <c r="L74" s="15" t="s">
        <v>253</v>
      </c>
      <c r="M74" s="26" t="s">
        <v>258</v>
      </c>
      <c r="N74" s="26"/>
      <c r="O74" s="26"/>
      <c r="P74" s="26"/>
      <c r="Q74" s="26"/>
      <c r="R74" s="27"/>
      <c r="S74" s="26"/>
      <c r="T74" s="26"/>
      <c r="U74" s="26"/>
      <c r="V74" s="47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1:38" s="64" customFormat="1">
      <c r="A75" s="59" t="s">
        <v>38</v>
      </c>
      <c r="B75" s="60" t="s">
        <v>39</v>
      </c>
      <c r="C75" s="61" t="s">
        <v>259</v>
      </c>
      <c r="D75" s="61" t="s">
        <v>259</v>
      </c>
      <c r="E75" s="62" t="s">
        <v>235</v>
      </c>
      <c r="F75" s="61" t="s">
        <v>259</v>
      </c>
      <c r="G75" s="63" t="s">
        <v>236</v>
      </c>
      <c r="I75" s="63" t="s">
        <v>260</v>
      </c>
      <c r="L75" s="65" t="s">
        <v>261</v>
      </c>
      <c r="M75" s="66" t="s">
        <v>262</v>
      </c>
      <c r="N75" s="66" t="s">
        <v>201</v>
      </c>
      <c r="O75" s="66">
        <v>0.68899999999999995</v>
      </c>
      <c r="P75" s="66">
        <v>0.3</v>
      </c>
      <c r="Q75" s="66">
        <v>19.7</v>
      </c>
      <c r="R75" s="67" t="s">
        <v>84</v>
      </c>
      <c r="S75" s="66"/>
      <c r="T75" s="66" t="s">
        <v>255</v>
      </c>
      <c r="U75" s="64" t="s">
        <v>263</v>
      </c>
      <c r="V75" s="66">
        <v>1.8620000000000001</v>
      </c>
      <c r="W75" s="66">
        <v>0.124</v>
      </c>
      <c r="X75" s="66">
        <v>4497</v>
      </c>
      <c r="Y75" s="66">
        <v>92.9</v>
      </c>
      <c r="Z75" s="66">
        <v>35.1</v>
      </c>
      <c r="AA75" s="66">
        <v>1.8680000000000001</v>
      </c>
      <c r="AB75" s="66">
        <v>0.11700000000000001</v>
      </c>
      <c r="AC75" s="66">
        <v>83.4</v>
      </c>
      <c r="AD75" s="66"/>
      <c r="AE75" s="66"/>
      <c r="AF75" s="66"/>
      <c r="AG75" s="66"/>
      <c r="AH75" s="66"/>
      <c r="AI75" s="66"/>
      <c r="AJ75" s="66"/>
      <c r="AK75" s="66"/>
      <c r="AL75" s="66"/>
    </row>
    <row r="76" spans="1:38" s="64" customFormat="1">
      <c r="A76" s="59"/>
      <c r="B76" s="60"/>
      <c r="C76" s="61"/>
      <c r="D76" s="61"/>
      <c r="E76" s="62"/>
      <c r="F76" s="61"/>
      <c r="G76" s="63"/>
      <c r="I76" s="63"/>
      <c r="L76" s="65"/>
      <c r="M76" s="69" t="s">
        <v>264</v>
      </c>
      <c r="N76" s="66"/>
      <c r="O76" s="66"/>
      <c r="P76" s="66"/>
      <c r="Q76" s="66"/>
      <c r="R76" s="67"/>
      <c r="S76" s="66"/>
      <c r="T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</row>
    <row r="77" spans="1:38">
      <c r="A77" s="18" t="s">
        <v>38</v>
      </c>
      <c r="B77" s="19" t="s">
        <v>39</v>
      </c>
      <c r="C77" s="4" t="s">
        <v>265</v>
      </c>
      <c r="D77" s="4" t="s">
        <v>265</v>
      </c>
      <c r="E77" s="22" t="s">
        <v>235</v>
      </c>
      <c r="F77" s="4" t="s">
        <v>265</v>
      </c>
      <c r="G77" s="10" t="s">
        <v>236</v>
      </c>
      <c r="I77" s="10" t="s">
        <v>260</v>
      </c>
      <c r="L77" s="15" t="s">
        <v>261</v>
      </c>
      <c r="M77" s="26" t="s">
        <v>266</v>
      </c>
      <c r="N77" s="26"/>
      <c r="O77" s="26"/>
      <c r="P77" s="26"/>
      <c r="Q77" s="26"/>
      <c r="R77" s="27"/>
      <c r="S77" s="26"/>
      <c r="T77" s="26"/>
      <c r="U77" s="26"/>
      <c r="V77" s="47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1:38">
      <c r="A78" s="18" t="s">
        <v>38</v>
      </c>
      <c r="B78" s="19" t="s">
        <v>39</v>
      </c>
      <c r="C78" s="7" t="s">
        <v>267</v>
      </c>
      <c r="D78" s="7" t="s">
        <v>267</v>
      </c>
      <c r="E78" s="22" t="s">
        <v>235</v>
      </c>
      <c r="F78" s="7" t="s">
        <v>267</v>
      </c>
      <c r="G78" s="10" t="s">
        <v>236</v>
      </c>
      <c r="I78" s="10" t="s">
        <v>268</v>
      </c>
      <c r="L78" s="15" t="s">
        <v>261</v>
      </c>
      <c r="M78" s="26" t="s">
        <v>269</v>
      </c>
      <c r="N78" s="26"/>
      <c r="O78" s="26"/>
      <c r="P78" s="26"/>
      <c r="Q78" s="26"/>
      <c r="R78" s="27"/>
      <c r="S78" s="26"/>
      <c r="T78" s="26"/>
      <c r="U78" s="26"/>
      <c r="V78" s="47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1:38">
      <c r="A79" s="18" t="s">
        <v>38</v>
      </c>
      <c r="B79" s="19" t="s">
        <v>39</v>
      </c>
      <c r="C79" s="7" t="s">
        <v>270</v>
      </c>
      <c r="D79" s="7" t="s">
        <v>270</v>
      </c>
      <c r="E79" s="22" t="s">
        <v>235</v>
      </c>
      <c r="F79" s="7" t="s">
        <v>270</v>
      </c>
      <c r="G79" s="10" t="s">
        <v>236</v>
      </c>
      <c r="I79" s="10" t="s">
        <v>268</v>
      </c>
      <c r="L79" s="15" t="s">
        <v>261</v>
      </c>
      <c r="M79" s="26" t="s">
        <v>269</v>
      </c>
      <c r="N79" s="26"/>
      <c r="O79" s="26"/>
      <c r="P79" s="26"/>
      <c r="Q79" s="26"/>
      <c r="R79" s="27"/>
      <c r="S79" s="26"/>
      <c r="T79" s="26"/>
      <c r="U79" s="26"/>
      <c r="V79" s="47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1:38">
      <c r="A80" s="18" t="s">
        <v>38</v>
      </c>
      <c r="B80" s="19" t="s">
        <v>39</v>
      </c>
      <c r="C80" s="7" t="s">
        <v>271</v>
      </c>
      <c r="D80" s="7" t="s">
        <v>271</v>
      </c>
      <c r="E80" s="22" t="s">
        <v>235</v>
      </c>
      <c r="F80" s="7" t="s">
        <v>271</v>
      </c>
      <c r="G80" s="10" t="s">
        <v>236</v>
      </c>
      <c r="I80" s="10" t="s">
        <v>272</v>
      </c>
      <c r="L80" s="15" t="s">
        <v>261</v>
      </c>
      <c r="M80" s="26" t="s">
        <v>269</v>
      </c>
      <c r="N80" s="26"/>
      <c r="O80" s="26"/>
      <c r="P80" s="26"/>
      <c r="Q80" s="26"/>
      <c r="R80" s="27"/>
      <c r="S80" s="26"/>
      <c r="T80" s="26"/>
      <c r="U80" s="26"/>
      <c r="V80" s="47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1:38">
      <c r="A81" s="18" t="s">
        <v>38</v>
      </c>
      <c r="B81" s="19" t="s">
        <v>39</v>
      </c>
      <c r="C81" s="7" t="s">
        <v>273</v>
      </c>
      <c r="D81" s="7" t="s">
        <v>273</v>
      </c>
      <c r="E81" s="22" t="s">
        <v>235</v>
      </c>
      <c r="F81" s="7" t="s">
        <v>273</v>
      </c>
      <c r="G81" s="10" t="s">
        <v>236</v>
      </c>
      <c r="I81" s="10" t="s">
        <v>272</v>
      </c>
      <c r="L81" s="15" t="s">
        <v>261</v>
      </c>
      <c r="M81" s="26" t="s">
        <v>274</v>
      </c>
      <c r="N81" s="26"/>
      <c r="O81" s="26"/>
      <c r="P81" s="26"/>
      <c r="Q81" s="26"/>
      <c r="R81" s="27"/>
      <c r="S81" s="26"/>
      <c r="T81" s="26"/>
      <c r="U81" s="26"/>
      <c r="V81" s="47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1:38">
      <c r="A82" s="18" t="s">
        <v>38</v>
      </c>
      <c r="B82" s="19" t="s">
        <v>39</v>
      </c>
      <c r="C82" s="7" t="s">
        <v>275</v>
      </c>
      <c r="D82" s="7" t="s">
        <v>275</v>
      </c>
      <c r="E82" s="22" t="s">
        <v>235</v>
      </c>
      <c r="F82" s="7" t="s">
        <v>275</v>
      </c>
      <c r="G82" s="10" t="s">
        <v>236</v>
      </c>
      <c r="I82" s="10" t="s">
        <v>276</v>
      </c>
      <c r="L82" s="15" t="s">
        <v>261</v>
      </c>
      <c r="M82" s="26" t="s">
        <v>277</v>
      </c>
      <c r="N82" s="26"/>
      <c r="O82" s="26"/>
      <c r="P82" s="26"/>
      <c r="Q82" s="26"/>
      <c r="R82" s="27"/>
      <c r="S82" s="26"/>
      <c r="T82" s="26"/>
      <c r="U82" s="26"/>
      <c r="V82" s="47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1:38">
      <c r="A83" s="18" t="s">
        <v>38</v>
      </c>
      <c r="B83" s="19" t="s">
        <v>39</v>
      </c>
      <c r="C83" s="7" t="s">
        <v>278</v>
      </c>
      <c r="D83" s="7" t="s">
        <v>278</v>
      </c>
      <c r="E83" s="22" t="s">
        <v>235</v>
      </c>
      <c r="F83" s="7" t="s">
        <v>278</v>
      </c>
      <c r="G83" s="10" t="s">
        <v>236</v>
      </c>
      <c r="I83" s="10" t="s">
        <v>276</v>
      </c>
      <c r="L83" s="15" t="s">
        <v>261</v>
      </c>
      <c r="M83" s="26" t="s">
        <v>279</v>
      </c>
      <c r="N83" s="26"/>
      <c r="O83" s="26"/>
      <c r="P83" s="26"/>
      <c r="Q83" s="26"/>
      <c r="R83" s="27"/>
      <c r="S83" s="26"/>
      <c r="T83" s="26"/>
      <c r="U83" s="26"/>
      <c r="V83" s="47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1:38">
      <c r="A84" s="18" t="s">
        <v>38</v>
      </c>
      <c r="B84" s="19" t="s">
        <v>39</v>
      </c>
      <c r="C84" s="7" t="s">
        <v>280</v>
      </c>
      <c r="D84" s="7" t="s">
        <v>280</v>
      </c>
      <c r="E84" s="22" t="s">
        <v>235</v>
      </c>
      <c r="F84" s="7" t="s">
        <v>280</v>
      </c>
      <c r="G84" s="10" t="s">
        <v>236</v>
      </c>
      <c r="I84" s="10" t="s">
        <v>281</v>
      </c>
      <c r="L84" s="15" t="s">
        <v>261</v>
      </c>
      <c r="M84" s="26" t="s">
        <v>282</v>
      </c>
      <c r="N84" s="26"/>
      <c r="O84" s="26"/>
      <c r="P84" s="26"/>
      <c r="Q84" s="26"/>
      <c r="R84" s="27"/>
      <c r="S84" s="26"/>
      <c r="T84" s="26"/>
      <c r="U84" s="26"/>
      <c r="V84" s="47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1:38">
      <c r="A85" s="18" t="s">
        <v>38</v>
      </c>
      <c r="B85" s="19" t="s">
        <v>39</v>
      </c>
      <c r="C85" s="7" t="s">
        <v>283</v>
      </c>
      <c r="D85" s="7" t="s">
        <v>283</v>
      </c>
      <c r="E85" s="22" t="s">
        <v>235</v>
      </c>
      <c r="F85" s="7" t="s">
        <v>283</v>
      </c>
      <c r="G85" s="10" t="s">
        <v>236</v>
      </c>
      <c r="I85" s="10" t="s">
        <v>281</v>
      </c>
      <c r="L85" s="15" t="s">
        <v>261</v>
      </c>
      <c r="M85" s="26" t="s">
        <v>284</v>
      </c>
      <c r="N85" s="26"/>
      <c r="O85" s="26"/>
      <c r="P85" s="26"/>
      <c r="Q85" s="26"/>
      <c r="R85" s="27"/>
      <c r="S85" s="26"/>
      <c r="T85" s="26"/>
      <c r="U85" s="26"/>
      <c r="V85" s="47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1:38">
      <c r="A86" s="18" t="s">
        <v>38</v>
      </c>
      <c r="B86" s="19" t="s">
        <v>39</v>
      </c>
      <c r="C86" s="7" t="s">
        <v>285</v>
      </c>
      <c r="D86" s="7" t="s">
        <v>285</v>
      </c>
      <c r="E86" s="23" t="s">
        <v>286</v>
      </c>
      <c r="F86" s="7" t="s">
        <v>285</v>
      </c>
      <c r="G86" s="11" t="s">
        <v>287</v>
      </c>
      <c r="I86" s="17" t="s">
        <v>288</v>
      </c>
      <c r="L86" s="16" t="s">
        <v>227</v>
      </c>
      <c r="M86" s="26" t="s">
        <v>289</v>
      </c>
      <c r="N86" s="26"/>
      <c r="O86" s="26"/>
      <c r="P86" s="26"/>
      <c r="Q86" s="26"/>
      <c r="R86" s="27"/>
      <c r="S86" s="26"/>
      <c r="T86" s="26"/>
      <c r="U86" s="26"/>
      <c r="V86" s="47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1:38">
      <c r="A87" s="18" t="s">
        <v>38</v>
      </c>
      <c r="B87" s="19" t="s">
        <v>39</v>
      </c>
      <c r="C87" s="7" t="s">
        <v>290</v>
      </c>
      <c r="D87" s="7" t="s">
        <v>290</v>
      </c>
      <c r="E87" s="22" t="s">
        <v>235</v>
      </c>
      <c r="F87" s="7" t="s">
        <v>290</v>
      </c>
      <c r="G87" s="10" t="s">
        <v>236</v>
      </c>
      <c r="I87" s="10" t="s">
        <v>291</v>
      </c>
      <c r="L87" s="15" t="s">
        <v>261</v>
      </c>
      <c r="M87" s="26" t="s">
        <v>292</v>
      </c>
      <c r="N87" s="26"/>
      <c r="O87" s="26"/>
      <c r="P87" s="26"/>
      <c r="Q87" s="26"/>
      <c r="R87" s="27"/>
      <c r="S87" s="26"/>
      <c r="T87" s="26"/>
      <c r="U87" s="26"/>
      <c r="V87" s="47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1:38" s="64" customFormat="1">
      <c r="A88" s="59" t="s">
        <v>38</v>
      </c>
      <c r="B88" s="60" t="s">
        <v>39</v>
      </c>
      <c r="C88" s="68" t="s">
        <v>293</v>
      </c>
      <c r="D88" s="68" t="s">
        <v>293</v>
      </c>
      <c r="E88" s="62" t="s">
        <v>294</v>
      </c>
      <c r="F88" s="68" t="s">
        <v>293</v>
      </c>
      <c r="G88" s="63" t="s">
        <v>236</v>
      </c>
      <c r="I88" s="63" t="s">
        <v>268</v>
      </c>
      <c r="L88" s="65" t="s">
        <v>261</v>
      </c>
      <c r="M88" s="66" t="s">
        <v>295</v>
      </c>
      <c r="N88" s="66" t="s">
        <v>155</v>
      </c>
      <c r="O88" s="66">
        <v>0.80200000000000005</v>
      </c>
      <c r="P88" s="66">
        <v>0.2</v>
      </c>
      <c r="Q88" s="66">
        <v>11.95</v>
      </c>
      <c r="R88" s="67" t="s">
        <v>84</v>
      </c>
      <c r="T88" s="66" t="s">
        <v>255</v>
      </c>
      <c r="U88" s="66" t="s">
        <v>296</v>
      </c>
      <c r="V88" s="66">
        <v>1.63</v>
      </c>
      <c r="W88" s="66">
        <v>0.13200000000000001</v>
      </c>
      <c r="X88" s="66">
        <v>16565</v>
      </c>
      <c r="Y88" s="66">
        <v>82.9</v>
      </c>
      <c r="Z88" s="66">
        <v>25.8</v>
      </c>
      <c r="AA88" s="66">
        <v>1.486</v>
      </c>
      <c r="AB88" s="66">
        <v>0.13200000000000001</v>
      </c>
      <c r="AC88" s="66">
        <v>61.4</v>
      </c>
      <c r="AD88" s="66"/>
      <c r="AE88" s="66"/>
      <c r="AF88" s="66"/>
      <c r="AG88" s="66"/>
      <c r="AH88" s="66"/>
      <c r="AI88" s="66"/>
      <c r="AJ88" s="66"/>
      <c r="AK88" s="66"/>
      <c r="AL88" s="66"/>
    </row>
    <row r="89" spans="1:38" s="64" customFormat="1">
      <c r="A89" s="59"/>
      <c r="B89" s="60"/>
      <c r="C89" s="68"/>
      <c r="D89" s="68"/>
      <c r="E89" s="62"/>
      <c r="F89" s="68"/>
      <c r="G89" s="63"/>
      <c r="I89" s="63"/>
      <c r="L89" s="65"/>
      <c r="M89" s="69" t="s">
        <v>264</v>
      </c>
      <c r="N89" s="66"/>
      <c r="O89" s="66"/>
      <c r="P89" s="66"/>
      <c r="Q89" s="66"/>
      <c r="R89" s="67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</row>
    <row r="90" spans="1:38" s="54" customFormat="1">
      <c r="A90" s="49" t="s">
        <v>38</v>
      </c>
      <c r="B90" s="50" t="s">
        <v>39</v>
      </c>
      <c r="C90" s="58" t="s">
        <v>297</v>
      </c>
      <c r="D90" s="58" t="s">
        <v>297</v>
      </c>
      <c r="E90" s="52" t="s">
        <v>294</v>
      </c>
      <c r="F90" s="58" t="s">
        <v>297</v>
      </c>
      <c r="G90" s="53" t="s">
        <v>236</v>
      </c>
      <c r="I90" s="53" t="s">
        <v>268</v>
      </c>
      <c r="L90" s="55" t="s">
        <v>261</v>
      </c>
      <c r="M90" s="56" t="s">
        <v>298</v>
      </c>
      <c r="N90" s="56" t="s">
        <v>191</v>
      </c>
      <c r="O90" s="56">
        <v>0.76400000000000001</v>
      </c>
      <c r="P90" s="56">
        <v>0.3</v>
      </c>
      <c r="Q90" s="56">
        <v>8.7799999999999994</v>
      </c>
      <c r="R90" s="57" t="s">
        <v>84</v>
      </c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</row>
    <row r="91" spans="1:38" s="54" customFormat="1">
      <c r="A91" s="49" t="s">
        <v>38</v>
      </c>
      <c r="B91" s="50" t="s">
        <v>39</v>
      </c>
      <c r="C91" s="58" t="s">
        <v>299</v>
      </c>
      <c r="D91" s="58" t="s">
        <v>299</v>
      </c>
      <c r="E91" s="52" t="s">
        <v>294</v>
      </c>
      <c r="F91" s="58" t="s">
        <v>299</v>
      </c>
      <c r="G91" s="53" t="s">
        <v>236</v>
      </c>
      <c r="I91" s="53" t="s">
        <v>272</v>
      </c>
      <c r="L91" s="55" t="s">
        <v>261</v>
      </c>
      <c r="M91" s="56" t="s">
        <v>300</v>
      </c>
      <c r="N91" s="56" t="s">
        <v>191</v>
      </c>
      <c r="O91" s="56">
        <v>0.318</v>
      </c>
      <c r="P91" s="56">
        <v>0.3</v>
      </c>
      <c r="Q91" s="56">
        <v>8.36</v>
      </c>
      <c r="R91" s="57" t="s">
        <v>84</v>
      </c>
      <c r="S91" s="56"/>
      <c r="T91" s="56" t="s">
        <v>230</v>
      </c>
      <c r="U91" s="56" t="s">
        <v>301</v>
      </c>
      <c r="V91" s="54">
        <v>2.1619999999999999</v>
      </c>
      <c r="W91" s="56">
        <v>0.27800000000000002</v>
      </c>
      <c r="X91" s="56">
        <v>7300</v>
      </c>
      <c r="Y91" s="56">
        <v>87</v>
      </c>
      <c r="Z91" s="56">
        <v>8</v>
      </c>
      <c r="AA91" s="56">
        <v>1.8129999999999999</v>
      </c>
      <c r="AB91" s="56">
        <v>0.26200000000000001</v>
      </c>
      <c r="AC91" s="56">
        <v>47.9</v>
      </c>
      <c r="AD91" s="56"/>
      <c r="AE91" s="56"/>
      <c r="AF91" s="56"/>
      <c r="AG91" s="56"/>
      <c r="AH91" s="56"/>
      <c r="AI91" s="56"/>
      <c r="AJ91" s="56"/>
      <c r="AK91" s="56"/>
      <c r="AL91" s="56"/>
    </row>
    <row r="92" spans="1:38" s="54" customFormat="1">
      <c r="A92" s="49" t="s">
        <v>38</v>
      </c>
      <c r="B92" s="50" t="s">
        <v>39</v>
      </c>
      <c r="C92" s="58" t="s">
        <v>302</v>
      </c>
      <c r="D92" s="58" t="s">
        <v>302</v>
      </c>
      <c r="E92" s="52" t="s">
        <v>294</v>
      </c>
      <c r="F92" s="58" t="s">
        <v>302</v>
      </c>
      <c r="G92" s="53" t="s">
        <v>236</v>
      </c>
      <c r="I92" s="53" t="s">
        <v>272</v>
      </c>
      <c r="L92" s="55" t="s">
        <v>261</v>
      </c>
      <c r="M92" s="56" t="s">
        <v>303</v>
      </c>
      <c r="N92" s="56" t="s">
        <v>229</v>
      </c>
      <c r="O92" s="56">
        <v>0.42299999999999999</v>
      </c>
      <c r="P92" s="56">
        <v>0.2</v>
      </c>
      <c r="Q92" s="56">
        <v>5.87</v>
      </c>
      <c r="R92" s="57" t="s">
        <v>84</v>
      </c>
      <c r="S92" s="56"/>
      <c r="T92" s="56" t="s">
        <v>304</v>
      </c>
      <c r="U92" s="56" t="s">
        <v>305</v>
      </c>
      <c r="V92" s="56">
        <v>2.5459999999999998</v>
      </c>
      <c r="W92" s="56">
        <v>0.38600000000000001</v>
      </c>
      <c r="X92" s="56">
        <v>13677</v>
      </c>
      <c r="Y92" s="56">
        <v>87.6</v>
      </c>
      <c r="Z92" s="56">
        <v>8.6999999999999993</v>
      </c>
      <c r="AA92" s="56">
        <v>2.4780000000000002</v>
      </c>
      <c r="AB92" s="56">
        <v>0.33900000000000002</v>
      </c>
      <c r="AC92" s="56">
        <v>61</v>
      </c>
      <c r="AD92" s="56"/>
      <c r="AE92" s="56"/>
      <c r="AF92" s="56"/>
      <c r="AG92" s="56"/>
      <c r="AH92" s="56"/>
      <c r="AI92" s="56"/>
      <c r="AJ92" s="56"/>
      <c r="AK92" s="56"/>
      <c r="AL92" s="56"/>
    </row>
    <row r="93" spans="1:38" s="54" customFormat="1">
      <c r="A93" s="49" t="s">
        <v>38</v>
      </c>
      <c r="B93" s="50" t="s">
        <v>39</v>
      </c>
      <c r="C93" s="58" t="s">
        <v>306</v>
      </c>
      <c r="D93" s="58" t="s">
        <v>306</v>
      </c>
      <c r="E93" s="52" t="s">
        <v>294</v>
      </c>
      <c r="F93" s="58" t="s">
        <v>306</v>
      </c>
      <c r="G93" s="53" t="s">
        <v>236</v>
      </c>
      <c r="I93" s="53" t="s">
        <v>281</v>
      </c>
      <c r="L93" s="55" t="s">
        <v>261</v>
      </c>
      <c r="M93" s="56" t="s">
        <v>307</v>
      </c>
      <c r="N93" s="56" t="s">
        <v>229</v>
      </c>
      <c r="O93" s="56">
        <v>0.83</v>
      </c>
      <c r="P93" s="56">
        <v>0.3</v>
      </c>
      <c r="Q93" s="56">
        <v>10.34</v>
      </c>
      <c r="R93" s="57" t="s">
        <v>84</v>
      </c>
      <c r="S93" s="56"/>
      <c r="T93" s="56" t="s">
        <v>255</v>
      </c>
      <c r="U93" s="56" t="s">
        <v>308</v>
      </c>
      <c r="V93" s="56">
        <v>1.6459999999999999</v>
      </c>
      <c r="W93" s="56">
        <v>0.23400000000000001</v>
      </c>
      <c r="X93" s="56">
        <v>19351</v>
      </c>
      <c r="Y93" s="56">
        <v>99.6</v>
      </c>
      <c r="Z93" s="56">
        <v>25.7</v>
      </c>
      <c r="AA93" s="56">
        <v>1.611</v>
      </c>
      <c r="AB93" s="56">
        <v>0.2</v>
      </c>
      <c r="AC93" s="56">
        <v>72.400000000000006</v>
      </c>
      <c r="AD93" s="56"/>
      <c r="AE93" s="56"/>
      <c r="AF93" s="56"/>
      <c r="AG93" s="56"/>
      <c r="AH93" s="56"/>
      <c r="AI93" s="56"/>
      <c r="AJ93" s="56"/>
      <c r="AK93" s="56"/>
      <c r="AL93" s="56"/>
    </row>
    <row r="94" spans="1:38" s="54" customFormat="1">
      <c r="A94" s="49" t="s">
        <v>38</v>
      </c>
      <c r="B94" s="50" t="s">
        <v>39</v>
      </c>
      <c r="C94" s="58" t="s">
        <v>309</v>
      </c>
      <c r="D94" s="58" t="s">
        <v>309</v>
      </c>
      <c r="E94" s="52" t="s">
        <v>294</v>
      </c>
      <c r="F94" s="58" t="s">
        <v>309</v>
      </c>
      <c r="G94" s="53" t="s">
        <v>236</v>
      </c>
      <c r="I94" s="53" t="s">
        <v>291</v>
      </c>
      <c r="L94" s="55" t="s">
        <v>261</v>
      </c>
      <c r="M94" s="56" t="s">
        <v>310</v>
      </c>
      <c r="N94" s="56" t="s">
        <v>191</v>
      </c>
      <c r="O94" s="54">
        <v>0.27800000000000002</v>
      </c>
      <c r="P94" s="56">
        <v>0.3</v>
      </c>
      <c r="Q94" s="56">
        <v>4.04</v>
      </c>
      <c r="R94" s="57" t="s">
        <v>84</v>
      </c>
      <c r="S94" s="56"/>
      <c r="T94" s="56" t="s">
        <v>311</v>
      </c>
      <c r="U94" s="56" t="s">
        <v>312</v>
      </c>
      <c r="V94" s="56">
        <v>2.1190000000000002</v>
      </c>
      <c r="W94" s="56">
        <v>0.442</v>
      </c>
      <c r="X94" s="56">
        <v>31063</v>
      </c>
      <c r="Y94" s="56">
        <v>90.8</v>
      </c>
      <c r="Z94" s="56">
        <v>7.9</v>
      </c>
      <c r="AA94" s="56">
        <v>2.0750000000000002</v>
      </c>
      <c r="AB94" s="56">
        <v>0.39100000000000001</v>
      </c>
      <c r="AC94" s="56">
        <v>58.3</v>
      </c>
      <c r="AD94" s="56"/>
      <c r="AE94" s="56"/>
      <c r="AF94" s="56"/>
      <c r="AG94" s="56"/>
      <c r="AH94" s="56"/>
      <c r="AI94" s="56"/>
      <c r="AJ94" s="56"/>
      <c r="AK94" s="56"/>
      <c r="AL94" s="56"/>
    </row>
    <row r="95" spans="1:38" s="54" customFormat="1">
      <c r="A95" s="49" t="s">
        <v>38</v>
      </c>
      <c r="B95" s="50" t="s">
        <v>39</v>
      </c>
      <c r="C95" s="58" t="s">
        <v>313</v>
      </c>
      <c r="D95" s="58" t="s">
        <v>313</v>
      </c>
      <c r="E95" s="52" t="s">
        <v>294</v>
      </c>
      <c r="F95" s="58" t="s">
        <v>313</v>
      </c>
      <c r="G95" s="53" t="s">
        <v>236</v>
      </c>
      <c r="I95" s="53" t="s">
        <v>291</v>
      </c>
      <c r="L95" s="55" t="s">
        <v>261</v>
      </c>
      <c r="M95" s="56" t="s">
        <v>300</v>
      </c>
      <c r="N95" s="56" t="s">
        <v>229</v>
      </c>
      <c r="O95" s="56">
        <v>0.437</v>
      </c>
      <c r="P95" s="56">
        <v>0.3</v>
      </c>
      <c r="Q95" s="56">
        <v>6.91</v>
      </c>
      <c r="R95" s="57" t="s">
        <v>84</v>
      </c>
      <c r="S95" s="56"/>
      <c r="T95" s="56" t="s">
        <v>249</v>
      </c>
      <c r="U95" s="56" t="s">
        <v>314</v>
      </c>
      <c r="V95" s="56">
        <v>2.1360000000000001</v>
      </c>
      <c r="W95" s="56">
        <v>0.36499999999999999</v>
      </c>
      <c r="X95" s="56">
        <v>2964</v>
      </c>
      <c r="Y95" s="56">
        <v>94.8</v>
      </c>
      <c r="Z95" s="56">
        <v>22.6</v>
      </c>
      <c r="AA95" s="56">
        <v>1.992</v>
      </c>
      <c r="AB95" s="56">
        <v>0.35699999999999998</v>
      </c>
      <c r="AC95" s="56">
        <v>70</v>
      </c>
      <c r="AD95" s="56"/>
      <c r="AE95" s="56"/>
      <c r="AF95" s="56"/>
      <c r="AG95" s="56"/>
      <c r="AH95" s="56"/>
      <c r="AI95" s="56"/>
      <c r="AJ95" s="56"/>
      <c r="AK95" s="56"/>
      <c r="AL95" s="56"/>
    </row>
    <row r="96" spans="1:38" s="54" customFormat="1">
      <c r="A96" s="49" t="s">
        <v>38</v>
      </c>
      <c r="B96" s="50" t="s">
        <v>39</v>
      </c>
      <c r="C96" s="58" t="s">
        <v>315</v>
      </c>
      <c r="D96" s="58" t="s">
        <v>315</v>
      </c>
      <c r="E96" s="52" t="s">
        <v>294</v>
      </c>
      <c r="F96" s="58" t="s">
        <v>315</v>
      </c>
      <c r="G96" s="53" t="s">
        <v>236</v>
      </c>
      <c r="I96" s="53" t="s">
        <v>291</v>
      </c>
      <c r="L96" s="55" t="s">
        <v>261</v>
      </c>
      <c r="M96" s="56" t="s">
        <v>316</v>
      </c>
      <c r="N96" s="56" t="s">
        <v>229</v>
      </c>
      <c r="O96" s="56">
        <v>0.313</v>
      </c>
      <c r="P96" s="56">
        <v>0.25</v>
      </c>
      <c r="Q96" s="56">
        <v>6.75</v>
      </c>
      <c r="R96" s="57" t="s">
        <v>84</v>
      </c>
      <c r="S96" s="56"/>
      <c r="T96" s="56" t="s">
        <v>255</v>
      </c>
      <c r="U96" s="56" t="s">
        <v>317</v>
      </c>
      <c r="V96" s="56">
        <v>2.0699999999999998</v>
      </c>
      <c r="W96" s="56">
        <v>0.51800000000000002</v>
      </c>
      <c r="X96" s="56">
        <v>3478</v>
      </c>
      <c r="Y96" s="56">
        <v>100</v>
      </c>
      <c r="Z96" s="56">
        <v>27</v>
      </c>
      <c r="AA96" s="56">
        <v>2.052</v>
      </c>
      <c r="AB96" s="56">
        <v>0.46700000000000003</v>
      </c>
      <c r="AC96" s="56">
        <v>74.8</v>
      </c>
      <c r="AD96" s="56"/>
      <c r="AE96" s="56"/>
      <c r="AF96" s="56"/>
      <c r="AG96" s="56"/>
      <c r="AH96" s="56"/>
      <c r="AI96" s="56"/>
      <c r="AJ96" s="56"/>
      <c r="AK96" s="56"/>
      <c r="AL96" s="56"/>
    </row>
    <row r="97" spans="1:38">
      <c r="A97" s="18" t="s">
        <v>38</v>
      </c>
      <c r="B97" s="19" t="s">
        <v>39</v>
      </c>
      <c r="C97" s="7" t="s">
        <v>318</v>
      </c>
      <c r="D97" s="7" t="s">
        <v>318</v>
      </c>
      <c r="E97" s="22" t="s">
        <v>294</v>
      </c>
      <c r="F97" s="7" t="s">
        <v>318</v>
      </c>
      <c r="G97" s="10" t="s">
        <v>236</v>
      </c>
      <c r="I97" s="10" t="s">
        <v>291</v>
      </c>
      <c r="L97" s="15" t="s">
        <v>261</v>
      </c>
      <c r="M97" s="26" t="s">
        <v>319</v>
      </c>
      <c r="N97" s="26"/>
      <c r="O97" s="26"/>
      <c r="P97" s="26"/>
      <c r="Q97" s="26"/>
      <c r="R97" s="27"/>
      <c r="S97" s="26"/>
      <c r="T97" s="26"/>
      <c r="U97" s="26"/>
      <c r="V97" s="47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1:38" s="54" customFormat="1">
      <c r="A98" s="49" t="s">
        <v>38</v>
      </c>
      <c r="B98" s="50" t="s">
        <v>39</v>
      </c>
      <c r="C98" s="58" t="s">
        <v>320</v>
      </c>
      <c r="D98" s="58" t="s">
        <v>320</v>
      </c>
      <c r="E98" s="52" t="s">
        <v>294</v>
      </c>
      <c r="F98" s="58" t="s">
        <v>320</v>
      </c>
      <c r="G98" s="53" t="s">
        <v>236</v>
      </c>
      <c r="I98" s="53" t="s">
        <v>291</v>
      </c>
      <c r="L98" s="55" t="s">
        <v>261</v>
      </c>
      <c r="M98" s="56" t="s">
        <v>321</v>
      </c>
      <c r="N98" s="56" t="s">
        <v>229</v>
      </c>
      <c r="O98" s="56">
        <v>0.32400000000000001</v>
      </c>
      <c r="P98" s="56">
        <v>0.3</v>
      </c>
      <c r="Q98" s="56">
        <v>14.22</v>
      </c>
      <c r="R98" s="57" t="s">
        <v>84</v>
      </c>
      <c r="S98" s="56"/>
      <c r="T98" s="56" t="s">
        <v>255</v>
      </c>
      <c r="U98" s="56" t="s">
        <v>322</v>
      </c>
      <c r="V98" s="56">
        <v>2.09</v>
      </c>
      <c r="W98" s="56">
        <v>0.34899999999999998</v>
      </c>
      <c r="X98" s="56">
        <v>3170</v>
      </c>
      <c r="Y98" s="56">
        <v>95.5</v>
      </c>
      <c r="Z98" s="56">
        <v>36.1</v>
      </c>
      <c r="AA98" s="56">
        <v>2.2240000000000002</v>
      </c>
      <c r="AB98" s="56">
        <v>0.23</v>
      </c>
      <c r="AC98" s="56">
        <v>74.099999999999994</v>
      </c>
      <c r="AD98" s="56"/>
      <c r="AE98" s="56"/>
      <c r="AF98" s="56"/>
      <c r="AG98" s="56"/>
      <c r="AH98" s="56"/>
      <c r="AI98" s="56"/>
      <c r="AJ98" s="56"/>
      <c r="AK98" s="56"/>
      <c r="AL98" s="56"/>
    </row>
    <row r="99" spans="1:38">
      <c r="A99" s="18" t="s">
        <v>38</v>
      </c>
      <c r="B99" s="19" t="s">
        <v>39</v>
      </c>
      <c r="C99" s="7" t="s">
        <v>323</v>
      </c>
      <c r="D99" s="7" t="s">
        <v>323</v>
      </c>
      <c r="E99" s="24" t="s">
        <v>286</v>
      </c>
      <c r="F99" s="7" t="s">
        <v>323</v>
      </c>
      <c r="G99" s="12" t="s">
        <v>324</v>
      </c>
      <c r="I99" s="12" t="s">
        <v>325</v>
      </c>
      <c r="L99" s="16" t="s">
        <v>227</v>
      </c>
      <c r="M99" s="26" t="s">
        <v>326</v>
      </c>
      <c r="N99" s="26"/>
      <c r="O99" s="26"/>
      <c r="P99" s="26"/>
      <c r="Q99" s="26"/>
      <c r="R99" s="27"/>
      <c r="S99" s="26"/>
      <c r="T99" s="26"/>
      <c r="U99" s="26"/>
      <c r="V99" s="47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1:38">
      <c r="A100" s="18" t="s">
        <v>38</v>
      </c>
      <c r="B100" s="19" t="s">
        <v>39</v>
      </c>
      <c r="C100" s="7" t="s">
        <v>327</v>
      </c>
      <c r="D100" s="7" t="s">
        <v>327</v>
      </c>
      <c r="E100" s="24" t="s">
        <v>286</v>
      </c>
      <c r="F100" s="7" t="s">
        <v>327</v>
      </c>
      <c r="G100" s="12" t="s">
        <v>328</v>
      </c>
      <c r="I100" s="12" t="s">
        <v>329</v>
      </c>
      <c r="L100" s="16" t="s">
        <v>227</v>
      </c>
      <c r="M100" s="26" t="s">
        <v>330</v>
      </c>
      <c r="N100" s="26"/>
      <c r="O100" s="26"/>
      <c r="P100" s="26"/>
      <c r="Q100" s="26"/>
      <c r="R100" s="27"/>
      <c r="S100" s="26"/>
      <c r="T100" s="26"/>
      <c r="U100" s="26"/>
      <c r="V100" s="47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1:38">
      <c r="A101" s="18" t="s">
        <v>38</v>
      </c>
      <c r="B101" s="19" t="s">
        <v>39</v>
      </c>
      <c r="C101" s="7" t="s">
        <v>331</v>
      </c>
      <c r="D101" s="7" t="s">
        <v>331</v>
      </c>
      <c r="E101" s="24" t="s">
        <v>286</v>
      </c>
      <c r="F101" s="7" t="s">
        <v>331</v>
      </c>
      <c r="G101" s="12" t="s">
        <v>332</v>
      </c>
      <c r="I101" s="12" t="s">
        <v>329</v>
      </c>
      <c r="L101" s="16" t="s">
        <v>227</v>
      </c>
      <c r="M101" s="26" t="s">
        <v>333</v>
      </c>
      <c r="N101" s="26"/>
      <c r="O101" s="26"/>
      <c r="P101" s="26"/>
      <c r="Q101" s="26"/>
      <c r="R101" s="27"/>
      <c r="S101" s="26"/>
      <c r="T101" s="26"/>
      <c r="U101" s="26"/>
      <c r="V101" s="47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1:38">
      <c r="A102" s="18" t="s">
        <v>38</v>
      </c>
      <c r="B102" s="19" t="s">
        <v>39</v>
      </c>
      <c r="C102" s="7" t="s">
        <v>334</v>
      </c>
      <c r="D102" s="7" t="s">
        <v>334</v>
      </c>
      <c r="E102" s="24" t="s">
        <v>286</v>
      </c>
      <c r="F102" s="7" t="s">
        <v>334</v>
      </c>
      <c r="G102" s="12" t="s">
        <v>332</v>
      </c>
      <c r="I102" s="12" t="s">
        <v>329</v>
      </c>
      <c r="L102" s="16" t="s">
        <v>335</v>
      </c>
      <c r="M102" s="26" t="s">
        <v>336</v>
      </c>
      <c r="N102" s="26"/>
      <c r="O102" s="26"/>
      <c r="P102" s="26"/>
      <c r="Q102" s="26"/>
      <c r="R102" s="27"/>
      <c r="S102" s="26"/>
      <c r="T102" s="26"/>
      <c r="U102" s="26"/>
      <c r="V102" s="47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1:38">
      <c r="A103" s="18" t="s">
        <v>38</v>
      </c>
      <c r="B103" s="19" t="s">
        <v>39</v>
      </c>
      <c r="C103" s="7" t="s">
        <v>337</v>
      </c>
      <c r="D103" s="7" t="s">
        <v>337</v>
      </c>
      <c r="E103" s="24" t="s">
        <v>286</v>
      </c>
      <c r="F103" s="7" t="s">
        <v>337</v>
      </c>
      <c r="G103" s="12" t="s">
        <v>328</v>
      </c>
      <c r="I103" s="12" t="s">
        <v>338</v>
      </c>
      <c r="L103" s="16" t="s">
        <v>335</v>
      </c>
      <c r="M103" s="26" t="s">
        <v>339</v>
      </c>
      <c r="N103" s="26"/>
      <c r="O103" s="26"/>
      <c r="P103" s="26"/>
      <c r="Q103" s="26"/>
      <c r="R103" s="27"/>
      <c r="S103" s="26"/>
      <c r="T103" s="26"/>
      <c r="U103" s="26"/>
      <c r="V103" s="47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1:38">
      <c r="A104" s="18" t="s">
        <v>38</v>
      </c>
      <c r="B104" s="19" t="s">
        <v>39</v>
      </c>
      <c r="C104" s="7" t="s">
        <v>340</v>
      </c>
      <c r="D104" s="7" t="s">
        <v>340</v>
      </c>
      <c r="E104" s="24" t="s">
        <v>286</v>
      </c>
      <c r="F104" s="7" t="s">
        <v>340</v>
      </c>
      <c r="G104" s="12" t="s">
        <v>341</v>
      </c>
      <c r="I104" s="12" t="s">
        <v>342</v>
      </c>
      <c r="L104" s="16" t="s">
        <v>343</v>
      </c>
      <c r="M104" s="26" t="s">
        <v>344</v>
      </c>
      <c r="N104" s="26"/>
      <c r="O104" s="26"/>
      <c r="P104" s="26"/>
      <c r="Q104" s="26"/>
      <c r="R104" s="27"/>
      <c r="S104" s="26"/>
      <c r="T104" s="26"/>
      <c r="U104" s="26"/>
      <c r="V104" s="47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1:38">
      <c r="M105" s="26"/>
      <c r="O105" s="26"/>
      <c r="P105" s="26"/>
      <c r="Q105" s="26"/>
      <c r="R105" s="26"/>
      <c r="S105" s="26"/>
      <c r="T105" s="26"/>
      <c r="U105" s="26"/>
      <c r="V105" s="47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Brigham Young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Prasadika Samarawickrama Hetti Arachchige</dc:creator>
  <cp:keywords/>
  <dc:description/>
  <cp:lastModifiedBy>David Bennett</cp:lastModifiedBy>
  <cp:revision/>
  <dcterms:created xsi:type="dcterms:W3CDTF">2025-10-20T18:14:22Z</dcterms:created>
  <dcterms:modified xsi:type="dcterms:W3CDTF">2026-07-13T18:55:11Z</dcterms:modified>
  <cp:category/>
  <cp:contentStatus/>
</cp:coreProperties>
</file>