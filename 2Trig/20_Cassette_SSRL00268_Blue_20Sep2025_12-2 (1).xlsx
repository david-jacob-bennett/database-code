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jdm255\Downloads\"/>
    </mc:Choice>
  </mc:AlternateContent>
  <xr:revisionPtr revIDLastSave="1442" documentId="13_ncr:1_{B442C275-8D53-4E9D-9A81-E911A1628324}" xr6:coauthVersionLast="47" xr6:coauthVersionMax="47" xr10:uidLastSave="{EA90B6DC-794F-40E7-AB24-045DAD950838}"/>
  <bookViews>
    <workbookView xWindow="-120" yWindow="-120" windowWidth="29040" windowHeight="17520" xr2:uid="{0A882F78-FB24-4858-BFD1-52777EAC15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99" i="1"/>
  <c r="O100" i="1"/>
  <c r="O94" i="1"/>
  <c r="O93" i="1"/>
  <c r="O92" i="1"/>
  <c r="O112" i="1"/>
  <c r="O72" i="1"/>
  <c r="O98" i="1"/>
  <c r="O78" i="1"/>
  <c r="O110" i="1"/>
  <c r="O109" i="1"/>
  <c r="O108" i="1"/>
  <c r="O106" i="1"/>
  <c r="O105" i="1"/>
  <c r="O103" i="1"/>
  <c r="O102" i="1"/>
  <c r="O101" i="1"/>
  <c r="O97" i="1"/>
  <c r="O91" i="1"/>
  <c r="O86" i="1"/>
  <c r="O84" i="1"/>
  <c r="O111" i="1"/>
  <c r="O83" i="1"/>
  <c r="O77" i="1"/>
  <c r="O76" i="1"/>
  <c r="O75" i="1"/>
  <c r="O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tc={1C06D635-EA04-47B4-886A-470D832E62F7}</author>
  </authors>
  <commentList>
    <comment ref="O9" authorId="0" shapeId="0" xr:uid="{1C06D635-EA04-47B4-886A-470D832E62F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too small to solve  or at least do molecular refinement?</t>
      </text>
    </comment>
  </commentList>
</comments>
</file>

<file path=xl/sharedStrings.xml><?xml version="1.0" encoding="utf-8"?>
<sst xmlns="http://schemas.openxmlformats.org/spreadsheetml/2006/main" count="1264" uniqueCount="462">
  <si>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</si>
  <si>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</si>
  <si>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</si>
  <si>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</si>
  <si>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</si>
  <si>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</si>
  <si>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</si>
  <si>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</si>
  <si>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</si>
  <si>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</si>
  <si>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</si>
  <si>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</si>
  <si>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</si>
  <si>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</si>
  <si>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</si>
  <si>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 estimate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</si>
  <si>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</si>
  <si>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</si>
  <si>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</si>
  <si>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</si>
  <si>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</si>
  <si>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</si>
  <si>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</si>
  <si>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</si>
  <si>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</si>
  <si>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</si>
  <si>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aniso resolution</t>
  </si>
  <si>
    <t>aniso rmeas</t>
  </si>
  <si>
    <t>aniso completeness (spherical)</t>
  </si>
  <si>
    <t>Twin fraction</t>
  </si>
  <si>
    <t xml:space="preserve">distance to origin </t>
  </si>
  <si>
    <t>Height relative to origin</t>
  </si>
  <si>
    <t>Unit-cell solvent content</t>
  </si>
  <si>
    <t>searched for?</t>
  </si>
  <si>
    <t>LLG</t>
  </si>
  <si>
    <t>TFZ</t>
  </si>
  <si>
    <t>fit to dens</t>
  </si>
  <si>
    <t>poly seen, termini match?</t>
  </si>
  <si>
    <t>SSRL00268</t>
  </si>
  <si>
    <t>cassette</t>
  </si>
  <si>
    <t>A1</t>
  </si>
  <si>
    <t>SSRL88217 barcode pin</t>
  </si>
  <si>
    <t>A2</t>
  </si>
  <si>
    <t>10xH-1TEL-TV-vWa 15 mg/ml</t>
  </si>
  <si>
    <t>Comet</t>
  </si>
  <si>
    <t>Crystal Screen E6</t>
  </si>
  <si>
    <t>Elijah Wilson</t>
  </si>
  <si>
    <t>1.9A xds, collected dataset</t>
  </si>
  <si>
    <t>smeary dots</t>
  </si>
  <si>
    <t>we need to delete a lot of frames, but I don't think we should do that because the second dataset for this crystal has better resolution than this collected dataset; after we delete the frames the resolution will get worse anyways so deleting frames won't even result in a higher resolution structure.</t>
  </si>
  <si>
    <t>A2-2</t>
  </si>
  <si>
    <t>A-2</t>
  </si>
  <si>
    <t>collected second dataset</t>
  </si>
  <si>
    <t>a lot of spots; some smeary</t>
  </si>
  <si>
    <t>N/A</t>
  </si>
  <si>
    <t>P61</t>
  </si>
  <si>
    <t>101.069 101.069 49.115 90.0 90.0 120.0</t>
  </si>
  <si>
    <t>A-3</t>
  </si>
  <si>
    <t>A2-3</t>
  </si>
  <si>
    <t>collected third datasaet</t>
  </si>
  <si>
    <t>1335-1385, 1510-1572, 1679-1765</t>
  </si>
  <si>
    <t>P21</t>
  </si>
  <si>
    <t>100.810 49.645 100.791 90.000 119.958 90.000</t>
  </si>
  <si>
    <t>A3</t>
  </si>
  <si>
    <t xml:space="preserve">collected </t>
  </si>
  <si>
    <t>okay, ice rings</t>
  </si>
  <si>
    <t>1436-1800</t>
  </si>
  <si>
    <t>101.154 49.045 101.275 90.000 119.871 90.000</t>
  </si>
  <si>
    <t>A4</t>
  </si>
  <si>
    <t>sfGFP-short-1TEL-SR-DARPin top left</t>
  </si>
  <si>
    <t>Octahedral diamond</t>
  </si>
  <si>
    <t>Wizard A7</t>
  </si>
  <si>
    <t>no crystal</t>
  </si>
  <si>
    <t>A5</t>
  </si>
  <si>
    <t>Xtal E6</t>
  </si>
  <si>
    <t>collected 2.5A vis, 1.78A xds</t>
  </si>
  <si>
    <t>few good spots not smeary</t>
  </si>
  <si>
    <t>101.160 101.160 49.403 90.0 90.0 120.0</t>
  </si>
  <si>
    <t>A6</t>
  </si>
  <si>
    <t>3.5A vis, icy, collected</t>
  </si>
  <si>
    <t>1240-1352, 1471-1800</t>
  </si>
  <si>
    <t>99.372 99.372 49.977 90.0 90.0 120.0</t>
  </si>
  <si>
    <t>A7</t>
  </si>
  <si>
    <t>4.7 A vis, no collect</t>
  </si>
  <si>
    <t>A8</t>
  </si>
  <si>
    <t>5.1 A vis, no collect</t>
  </si>
  <si>
    <t>B1</t>
  </si>
  <si>
    <t>No ice, 7.1 A, bent on one end</t>
  </si>
  <si>
    <t>B2</t>
  </si>
  <si>
    <t>6A with smears</t>
  </si>
  <si>
    <t>B3</t>
  </si>
  <si>
    <t>Aidan Anderson</t>
  </si>
  <si>
    <t>3 crystals? No diff</t>
  </si>
  <si>
    <t>B4</t>
  </si>
  <si>
    <t xml:space="preserve">4.0 A </t>
  </si>
  <si>
    <t>B5</t>
  </si>
  <si>
    <t>No diffraction, ice</t>
  </si>
  <si>
    <t>B6</t>
  </si>
  <si>
    <t>Weird anomolous scattering, ice</t>
  </si>
  <si>
    <t>B7</t>
  </si>
  <si>
    <t>ICE</t>
  </si>
  <si>
    <t>B8</t>
  </si>
  <si>
    <t>Few prominent dots, no good diff, ICE</t>
  </si>
  <si>
    <t>C1</t>
  </si>
  <si>
    <t>C2</t>
  </si>
  <si>
    <t>sfGFP-short-1TEL-SR-DARPin bottom left</t>
  </si>
  <si>
    <t>Medium Rod</t>
  </si>
  <si>
    <t>Wizard D10</t>
  </si>
  <si>
    <t>Miles Bradford</t>
  </si>
  <si>
    <t>ice rings, no diff</t>
  </si>
  <si>
    <t>C3</t>
  </si>
  <si>
    <t>stubby prism</t>
  </si>
  <si>
    <t>Wizard A11</t>
  </si>
  <si>
    <t>C4</t>
  </si>
  <si>
    <t>sfGFP-short-1TEL-SR-DARPin dried-out deep well</t>
  </si>
  <si>
    <t>long prism rod</t>
  </si>
  <si>
    <t>just ice</t>
  </si>
  <si>
    <t>C5</t>
  </si>
  <si>
    <t>square plate</t>
  </si>
  <si>
    <t>just ice, no diff</t>
  </si>
  <si>
    <t>C6</t>
  </si>
  <si>
    <t>1Trig-10xHis-1TEL-TV-vWa bottom left</t>
  </si>
  <si>
    <t>Medium rod</t>
  </si>
  <si>
    <t>PEG Ion A5</t>
  </si>
  <si>
    <t>C7</t>
  </si>
  <si>
    <t>1TEL_10xHis-sfGFP-med-1TEL-SR-DARPin_Crystal_Screen__CS_B10_bottom_left_08-08-2025_08-19-2025-12-23-28_harvested</t>
  </si>
  <si>
    <t>Big Prisms</t>
  </si>
  <si>
    <t>22. 0.2 M Sodium acetate trihydrate, 0.1 M TRIS hydrochloride pH 8.5, 30% w/v Polyethylene glycol 4,000</t>
  </si>
  <si>
    <t>C8</t>
  </si>
  <si>
    <t>1TEL_10xHis-sfGFP-med-1TEL-SR-DARPin_Crystal_Screen__CS_B10_bottom_left_08-08-2025_08-19-2025-12-25-36_harvested</t>
  </si>
  <si>
    <t>weird poly diffraction, no ice</t>
  </si>
  <si>
    <t>D1</t>
  </si>
  <si>
    <t>1TEL_10xHis-sfGFP-med-1TEL-SR-DARPin_Crystal_Screen__CS_D10_top_left_08-08-2025_08-19-2025-12-27-14_harvested</t>
  </si>
  <si>
    <t>Slanted Prism</t>
  </si>
  <si>
    <t>46. 0.2 M Calcium acetate hydrate, 0.1 M Sodium cacodylate trihydrate pH 6.5 , 18% w/v Polyethylene glycol 8,000</t>
  </si>
  <si>
    <t>D2</t>
  </si>
  <si>
    <t>1TEL_10xHis-sfGFP-med-1TEL-SR-DARPin_Crystal_Screen__CS_B7_top_left_08-08-2025_08-19-2025-12-29-51_harvested</t>
  </si>
  <si>
    <t>Prism</t>
  </si>
  <si>
    <t>19. 0.2 M Ammonium acetate, 0.1 M TRIS hydrochloride pH 8.5, 30% v/v 2-Propanol</t>
  </si>
  <si>
    <t>weird shovel, couldn't find crystal</t>
  </si>
  <si>
    <t>D3</t>
  </si>
  <si>
    <t>1TEL_10xHis-sfGFP-med-1TEL-SR-DARPin_Crystal_Screen__CS_A6_top_left_08-08-2025_08-19-2025-12-31-32_harvested</t>
  </si>
  <si>
    <t>6. 0.2 M Magnesium chloride hexahydrate, 0.1 M TRIS hydrochloride pH 8.5, 30% w/v Polyethylene glycol 4,000</t>
  </si>
  <si>
    <t>ICE, a couple smears</t>
  </si>
  <si>
    <t>D4</t>
  </si>
  <si>
    <t>1TEL_10xHis-sfGFP-med-1TEL-SR-DARPin_Wizard__WZ_D3_bottom_left_08-08-2025_08-19-2025-12-38-06_harvested</t>
  </si>
  <si>
    <t>Hexagonal Prism</t>
  </si>
  <si>
    <t>39. (H3) 0.2 M Sodium chloride, 0.1 M CAPS pH 10.5, 20% w/v Polyethylene glycol 8,000</t>
  </si>
  <si>
    <t>Eli Anderson</t>
  </si>
  <si>
    <t>D5</t>
  </si>
  <si>
    <t>1TEL_10xHis-sfGFP-med-1TEL-SR-DARPin_Wizard__WZ_D3_bottom_left_08-08-2025_08-19-2025-12-38-42_harvested</t>
  </si>
  <si>
    <t>Blake Averett</t>
  </si>
  <si>
    <t>D6</t>
  </si>
  <si>
    <t>Empty</t>
  </si>
  <si>
    <t>D7</t>
  </si>
  <si>
    <t>D8</t>
  </si>
  <si>
    <t>10xHis-1TEL-SR-DARPin 15 mg/ml</t>
  </si>
  <si>
    <t>Xtal 5.10.25 A3</t>
  </si>
  <si>
    <t>Jacob</t>
  </si>
  <si>
    <t>E1</t>
  </si>
  <si>
    <t>Good diff. 2.16A vis, Collected dataset (Labeled as E1 in the run20_blue folder)</t>
  </si>
  <si>
    <t>slight smear, mostly good</t>
  </si>
  <si>
    <t>83.838 83.838 58.478 90.0 90.0 120.0</t>
  </si>
  <si>
    <t>E1-2</t>
  </si>
  <si>
    <t xml:space="preserve">good </t>
  </si>
  <si>
    <t>83.951 83.951 58.487 90.0 90.0 120.0</t>
  </si>
  <si>
    <t>E2</t>
  </si>
  <si>
    <t>1.8 A vis, collected</t>
  </si>
  <si>
    <t>83.739 83.739 58.514 90.0 90.0 120.0</t>
  </si>
  <si>
    <t>E3</t>
  </si>
  <si>
    <t>1.8 A, some ice, collected 1.4 A</t>
  </si>
  <si>
    <t>slight smear, ice rings</t>
  </si>
  <si>
    <t>83.784 83.784 58.564 90.0 90.0 120.0</t>
  </si>
  <si>
    <t>E4</t>
  </si>
  <si>
    <t>1.8 A vis, collected, 1.59 A</t>
  </si>
  <si>
    <t>mostly good</t>
  </si>
  <si>
    <t>83.753 83.753 58.427 90.0 90.0 120.0</t>
  </si>
  <si>
    <t>E5</t>
  </si>
  <si>
    <t>loop shredded, no crystal</t>
  </si>
  <si>
    <t>E6</t>
  </si>
  <si>
    <t>Needle</t>
  </si>
  <si>
    <t>Xtal F3</t>
  </si>
  <si>
    <t>4.4A vis, Ice rings</t>
  </si>
  <si>
    <t>E7</t>
  </si>
  <si>
    <t>10xHis-1TEL-SR-DARPin 20 mg/ml</t>
  </si>
  <si>
    <t>Thin Rods</t>
  </si>
  <si>
    <t>Xtal D1</t>
  </si>
  <si>
    <t>2.5 vis. ice rings</t>
  </si>
  <si>
    <t>E8</t>
  </si>
  <si>
    <t>F1</t>
  </si>
  <si>
    <t>sfGFP-med-1TEL-SR-DARPin 20mg/mL</t>
  </si>
  <si>
    <t>Cube/Rectangular Prism</t>
  </si>
  <si>
    <t>Wizard H11</t>
  </si>
  <si>
    <t>Eli W</t>
  </si>
  <si>
    <t>asymmetric strong scattering, this is the least smeary I've seen on this construct; likely salt</t>
  </si>
  <si>
    <t>F2</t>
  </si>
  <si>
    <t>Wizard H12</t>
  </si>
  <si>
    <t>F3</t>
  </si>
  <si>
    <t>Wizard H13</t>
  </si>
  <si>
    <t>Aiden</t>
  </si>
  <si>
    <t>asymmetric strong scattering, smeary; likely salt</t>
  </si>
  <si>
    <t>F4</t>
  </si>
  <si>
    <t>Wizard H14</t>
  </si>
  <si>
    <t>F5</t>
  </si>
  <si>
    <t>SUMO-1TEL-PA-UBA 5mg/ml</t>
  </si>
  <si>
    <t>Thick Hexagonal Rod</t>
  </si>
  <si>
    <t>Index A1</t>
  </si>
  <si>
    <t>some high res streaks, no spots</t>
  </si>
  <si>
    <t>F6</t>
  </si>
  <si>
    <t>Sea Urchin</t>
  </si>
  <si>
    <t>no diff, ice, maybe empty</t>
  </si>
  <si>
    <t>F7</t>
  </si>
  <si>
    <t>Thick Prism Rod</t>
  </si>
  <si>
    <t>Salt Rx G1</t>
  </si>
  <si>
    <t>some really strong spots, no pattern</t>
  </si>
  <si>
    <t>F8</t>
  </si>
  <si>
    <t>Short Thick Prism</t>
  </si>
  <si>
    <t>Wizard E9</t>
  </si>
  <si>
    <t>Eli A</t>
  </si>
  <si>
    <t>just a little ice</t>
  </si>
  <si>
    <t>G1</t>
  </si>
  <si>
    <t>SUMO-1TEL-PA-UBA 5 mg/ml</t>
  </si>
  <si>
    <t>medium needle</t>
  </si>
  <si>
    <t>Wizard E4</t>
  </si>
  <si>
    <t>no diffraction</t>
  </si>
  <si>
    <t>G2</t>
  </si>
  <si>
    <t>His-2T-R-HSP47 5.3 mg/mL</t>
  </si>
  <si>
    <t>Plate</t>
  </si>
  <si>
    <t>Peg Ion (D6-2), 0.2 M Potassium phosphate dibasic, 20% w/v Polyethylene glycol 3,350</t>
  </si>
  <si>
    <t xml:space="preserve">Prasadika </t>
  </si>
  <si>
    <t>some ice, no diffr, multiple crystals</t>
  </si>
  <si>
    <t>Dr. Moody and Blake started here at 9 PM Wed</t>
  </si>
  <si>
    <t>G3</t>
  </si>
  <si>
    <t>minimal ice, no diffraction</t>
  </si>
  <si>
    <t>G4</t>
  </si>
  <si>
    <t>minimal ice, 5.5 A, very smeary</t>
  </si>
  <si>
    <t>re-shoot, looks like salt</t>
  </si>
  <si>
    <t>G5</t>
  </si>
  <si>
    <t>His-HSP47 5 mg/mL</t>
  </si>
  <si>
    <t>Index (D7), 0.1 M BIS-TRIS pH 6.5, 25% w/v Polyethylene glycol 3,350</t>
  </si>
  <si>
    <t>11 A, polycrystalline</t>
  </si>
  <si>
    <t>re-shoot, salt</t>
  </si>
  <si>
    <t>G6</t>
  </si>
  <si>
    <t>No diffraction</t>
  </si>
  <si>
    <t>G7</t>
  </si>
  <si>
    <t>Short Rod</t>
  </si>
  <si>
    <t>Peg Ion (D6), 0.2 M Potassium phosphate dibasic, 20% w/v Polyethylene glycol 3,350</t>
  </si>
  <si>
    <t>fragmented, no diffraction</t>
  </si>
  <si>
    <t xml:space="preserve">re-shoot polycrystalline salt </t>
  </si>
  <si>
    <t>G8</t>
  </si>
  <si>
    <t>H1</t>
  </si>
  <si>
    <t>re-shoot, ice,  salt</t>
  </si>
  <si>
    <t>H2</t>
  </si>
  <si>
    <t>re-shoot,  salt</t>
  </si>
  <si>
    <t>H3</t>
  </si>
  <si>
    <t>some ice, No diffraction</t>
  </si>
  <si>
    <t>H4</t>
  </si>
  <si>
    <t>Salt Rx (E3), 1.5 M Ammonium phosphate dibasic; 0.1 M Tris pH8.5</t>
  </si>
  <si>
    <t>re-shoot,  salt? Maybe no diffraction</t>
  </si>
  <si>
    <t>H5</t>
  </si>
  <si>
    <t>Salt Rx (E3)</t>
  </si>
  <si>
    <t>re-shoot,  no diffraction</t>
  </si>
  <si>
    <t>H6</t>
  </si>
  <si>
    <t>re-shoot,  no diffraction? maybe salt</t>
  </si>
  <si>
    <t>H7</t>
  </si>
  <si>
    <t>1T-Vwa+CID3 16mg/mL 6-27-2025 (48000Da)</t>
  </si>
  <si>
    <t>Thin Plates from a flower</t>
  </si>
  <si>
    <t>Crystal Screen C7</t>
  </si>
  <si>
    <t>Prasadika</t>
  </si>
  <si>
    <t>nice spots, 2.5 A, xtal fell out of loop</t>
  </si>
  <si>
    <t>H8</t>
  </si>
  <si>
    <t>1T-Vwa+CID3 16mg/mL 6-27-2025</t>
  </si>
  <si>
    <t>multiple lattices, 2.5 A, collected</t>
  </si>
  <si>
    <t>smeary</t>
  </si>
  <si>
    <t>indexing failed</t>
  </si>
  <si>
    <t>Force into C2221 spacegroup</t>
  </si>
  <si>
    <t>rescaled into C2221</t>
  </si>
  <si>
    <t>rescaled into C2</t>
  </si>
  <si>
    <t>I1</t>
  </si>
  <si>
    <t xml:space="preserve">833-1193 </t>
  </si>
  <si>
    <t>700-1300, 1600-1800</t>
  </si>
  <si>
    <t>C2221</t>
  </si>
  <si>
    <t>49.052 59.819 101.425 90.0 90.0 90.0</t>
  </si>
  <si>
    <t>No twin law found</t>
  </si>
  <si>
    <t>20.61 w/ 48000</t>
  </si>
  <si>
    <t>removed frames and ran autoproc</t>
  </si>
  <si>
    <t>None</t>
  </si>
  <si>
    <t>49.0498 59.7346 101.4183 90.0 90.0 90.0</t>
  </si>
  <si>
    <t>40.37 w 18000</t>
  </si>
  <si>
    <t>found only one CID,no MR w 1T-vwa,vWA,2xCID</t>
  </si>
  <si>
    <t>CID fit to the density</t>
  </si>
  <si>
    <t>I2</t>
  </si>
  <si>
    <t>multiple lattices, 2.5 A, smeary</t>
  </si>
  <si>
    <t>I3</t>
  </si>
  <si>
    <t>I4</t>
  </si>
  <si>
    <t>nice spots, 2.0 A, collected</t>
  </si>
  <si>
    <t>48.734 60.368 101.379 90.0 90.0 90.0</t>
  </si>
  <si>
    <t>No solvent content w/ 48000 kDA, 40.56 with 18000</t>
  </si>
  <si>
    <t>I4-2</t>
  </si>
  <si>
    <t>nice spots, collected</t>
  </si>
  <si>
    <t>1431-1636</t>
  </si>
  <si>
    <t>49.081 59.980 101.572 90.0 90.0 90.0</t>
  </si>
  <si>
    <t>No solvent content w/ 48000 kDA, 40.72 with 1800</t>
  </si>
  <si>
    <t>I5</t>
  </si>
  <si>
    <t>1450-1550 (iso)</t>
  </si>
  <si>
    <t>P1</t>
  </si>
  <si>
    <t>38.042 39.493 53.296 106.420 99.321 101.062</t>
  </si>
  <si>
    <t>19.54 with 48000</t>
  </si>
  <si>
    <t>rescaled into C2221 without deleting frames</t>
  </si>
  <si>
    <t>rescalling didnt work</t>
  </si>
  <si>
    <t>P1, i dont think the rescaling worked</t>
  </si>
  <si>
    <t>I6</t>
  </si>
  <si>
    <t>ice, no crystal?</t>
  </si>
  <si>
    <t>I7</t>
  </si>
  <si>
    <t>ice, no diffraction</t>
  </si>
  <si>
    <t>I8</t>
  </si>
  <si>
    <t>ice, no diffraction, no crystal?</t>
  </si>
  <si>
    <t>J1</t>
  </si>
  <si>
    <t>2T-R-HSP47 24mg/ml 8-01-2025</t>
  </si>
  <si>
    <t>long Rod</t>
  </si>
  <si>
    <t>Salt RX D1-1</t>
  </si>
  <si>
    <t>4.2 vis, not collected</t>
  </si>
  <si>
    <t>J2</t>
  </si>
  <si>
    <t>2.9 A vis, collected</t>
  </si>
  <si>
    <t>P63</t>
  </si>
  <si>
    <t>140.664 140.664 55.587 90.0 90.0 120.0</t>
  </si>
  <si>
    <t xml:space="preserve"> 63000 if not cleaved (51.14)</t>
  </si>
  <si>
    <t>found 1T &amp; HSP47, makes polymers</t>
  </si>
  <si>
    <t>J3</t>
  </si>
  <si>
    <t>3.2 A vis, collected</t>
  </si>
  <si>
    <t>140.794 140.794 54.849 90.0 90.0 120.0</t>
  </si>
  <si>
    <t>50.55 w/ 63000</t>
  </si>
  <si>
    <t>found 2T w 2T alone,</t>
  </si>
  <si>
    <t>J4</t>
  </si>
  <si>
    <t>3.0 A vis, collected</t>
  </si>
  <si>
    <t>smeary, broken periodicy, triangles</t>
  </si>
  <si>
    <t>possible last few</t>
  </si>
  <si>
    <t>141.138 141.138 53.864 90.0 90.0 120.0</t>
  </si>
  <si>
    <t>49.93 w/ 63000</t>
  </si>
  <si>
    <t>found 1T &amp; HSP47, makes polymers,found 4 copies of 1TEL use that MR Pdb for refining</t>
  </si>
  <si>
    <t>found 4x1TEL with 2TEL alone, coot shows extra density,seems like part of the HSP47, no MR w HSP47 alone</t>
  </si>
  <si>
    <t>J5</t>
  </si>
  <si>
    <t>3.7 A vis, not collected</t>
  </si>
  <si>
    <t>J6</t>
  </si>
  <si>
    <t>2T-F-HSP47 20mg/ml 8-13-2025</t>
  </si>
  <si>
    <t>long rods</t>
  </si>
  <si>
    <t>Salt RX D2</t>
  </si>
  <si>
    <t>J7</t>
  </si>
  <si>
    <t>3.5 A vis, not collected</t>
  </si>
  <si>
    <t>J8</t>
  </si>
  <si>
    <t>Dallin</t>
  </si>
  <si>
    <t xml:space="preserve">collected with microbeam </t>
  </si>
  <si>
    <t>Very smeary, 900 images</t>
  </si>
  <si>
    <t>860-900</t>
  </si>
  <si>
    <t>49.872 59.410 100.815 90.0 90.0 90.0</t>
  </si>
  <si>
    <t>40.69 w/18000</t>
  </si>
  <si>
    <t>found 1x2TEL</t>
  </si>
  <si>
    <t>K1</t>
  </si>
  <si>
    <t>3.0 A, Collect</t>
  </si>
  <si>
    <t>Smeary</t>
  </si>
  <si>
    <t>847-1800</t>
  </si>
  <si>
    <t>141.439 141.439 54.224 90.0 90.0 120.0</t>
  </si>
  <si>
    <t>57.11 w/ 63000</t>
  </si>
  <si>
    <t>found 2x2TEL with 2TEL alone, coot shows extra density,seems like part of the HSP47, no MR w HSP47 alone</t>
  </si>
  <si>
    <t>K2</t>
  </si>
  <si>
    <t xml:space="preserve"> 922-1566 1739-1799</t>
  </si>
  <si>
    <t>1580-1700</t>
  </si>
  <si>
    <t>P6</t>
  </si>
  <si>
    <t>141.041 141.041 54.277 90.0 90.0 120.0</t>
  </si>
  <si>
    <t>50.24 w/63000</t>
  </si>
  <si>
    <t>found 2x1TEL with 2TEL</t>
  </si>
  <si>
    <t>K3</t>
  </si>
  <si>
    <t>3.0 A, Collect, microbeam 50% trans</t>
  </si>
  <si>
    <t>Poor</t>
  </si>
  <si>
    <t>943-1800</t>
  </si>
  <si>
    <t>935-943</t>
  </si>
  <si>
    <t>142.236 55.238 141.372 90.000 119.895 90.000</t>
  </si>
  <si>
    <t>40.50    w/ 95182 kDa</t>
  </si>
  <si>
    <t>K4</t>
  </si>
  <si>
    <t>3.0 A vis</t>
  </si>
  <si>
    <t>resolution lost</t>
  </si>
  <si>
    <t>K5</t>
  </si>
  <si>
    <t>diffraction lost?</t>
  </si>
  <si>
    <t>K6</t>
  </si>
  <si>
    <t>1109-1192, 1563-1601</t>
  </si>
  <si>
    <t>failed</t>
  </si>
  <si>
    <t>rescaled into C2 without deleting frames</t>
  </si>
  <si>
    <t>1073-1223 1569-1649</t>
  </si>
  <si>
    <t>1000-1800</t>
  </si>
  <si>
    <t>243.423 141.513 55.281 90.000 90.177 90.000</t>
  </si>
  <si>
    <t>many twin fractions,0.196</t>
  </si>
  <si>
    <t>found 1x2TEL-HSP47,density doesnt look good for HSP47, no polymers</t>
  </si>
  <si>
    <t xml:space="preserve">ran autoproc with deleted frames </t>
  </si>
  <si>
    <t>340-410, 900-999</t>
  </si>
  <si>
    <t>140.757 140.757 55.115 90.0 90.0 120.0</t>
  </si>
  <si>
    <t>K7</t>
  </si>
  <si>
    <t>900 images, good</t>
  </si>
  <si>
    <t>821-885</t>
  </si>
  <si>
    <t>800-900</t>
  </si>
  <si>
    <t>141.522 54.120 141.004 90.000 119.763 90.000</t>
  </si>
  <si>
    <t>86.89  w 25000Da, 66.95 w 63000Da</t>
  </si>
  <si>
    <t>found 1x2TEL-HSP47,density doesnt look good in coot but unit cell in pdb is good,no polymer</t>
  </si>
  <si>
    <t>K8</t>
  </si>
  <si>
    <t>1T-VWA-CID3-T (3/14/25) 15mg/mL</t>
  </si>
  <si>
    <t>Rectangular Prison</t>
  </si>
  <si>
    <t>Salt RX (H6)</t>
  </si>
  <si>
    <t>876-1800</t>
  </si>
  <si>
    <t>49.858 59.508 100.906 90.0 90.0 90.0</t>
  </si>
  <si>
    <t>40.82 w. 18000</t>
  </si>
  <si>
    <t>found one copy of CID,can be a dimer CID</t>
  </si>
  <si>
    <t>yes</t>
  </si>
  <si>
    <t>K8-2</t>
  </si>
  <si>
    <t>1T-VWA-CID3-T (3/14/25) 15mg/mL (47591Da)</t>
  </si>
  <si>
    <t>900 images, smeary</t>
  </si>
  <si>
    <t>804-891</t>
  </si>
  <si>
    <t>49.726 59.515 101.090 90.0 90.0 90.0</t>
  </si>
  <si>
    <t>40.73 w/18000</t>
  </si>
  <si>
    <t>L1</t>
  </si>
  <si>
    <t>820-900</t>
  </si>
  <si>
    <t>P 21</t>
  </si>
  <si>
    <t>140.800 54.082 141.163 90.000 119.693 90.000</t>
  </si>
  <si>
    <t>0.196, 0.183, 0.022, 0.022, 0.022</t>
  </si>
  <si>
    <t>L2</t>
  </si>
  <si>
    <t>1T-VWA-CID3 16mg/mL</t>
  </si>
  <si>
    <t>Needles</t>
  </si>
  <si>
    <t>Crystal Screen (D7)</t>
  </si>
  <si>
    <t>6 A, messy</t>
  </si>
  <si>
    <t>L3</t>
  </si>
  <si>
    <t>900 images</t>
  </si>
  <si>
    <t>623-900</t>
  </si>
  <si>
    <t>49.844 58.862 100.538 90.0 90.0 90.0</t>
  </si>
  <si>
    <t>39.92 w 18000</t>
  </si>
  <si>
    <t>L4</t>
  </si>
  <si>
    <t>476-900</t>
  </si>
  <si>
    <t>49.338 60.035 101.096 90.000 90.109 90.000</t>
  </si>
  <si>
    <t>21.04 w 48000, 70.39 w 18000</t>
  </si>
  <si>
    <t>found only 1TEL &amp; CID, error w 2xCID,no vwa with 1TEL-VWA</t>
  </si>
  <si>
    <t>found 2 copies of CID, good density</t>
  </si>
  <si>
    <t>L5</t>
  </si>
  <si>
    <t>good</t>
  </si>
  <si>
    <t>709-1800</t>
  </si>
  <si>
    <t>49.333 59.610 100.927 90.0 90.0 90.0</t>
  </si>
  <si>
    <t xml:space="preserve"> 40.30 w 18000</t>
  </si>
  <si>
    <t>L6</t>
  </si>
  <si>
    <t>444-640, 813-893</t>
  </si>
  <si>
    <t>420-800</t>
  </si>
  <si>
    <t>49.151 60.045 101.285 90.0 90.0 90.0</t>
  </si>
  <si>
    <t>40.69 Ww18000</t>
  </si>
  <si>
    <t>L7</t>
  </si>
  <si>
    <t>collected</t>
  </si>
  <si>
    <t>467-900</t>
  </si>
  <si>
    <t>49.566 59.038 100.936 90.0 90.0 90.0</t>
  </si>
  <si>
    <t>40.00 w 18000</t>
  </si>
  <si>
    <t>L8</t>
  </si>
  <si>
    <t>550-710, 800-1800</t>
  </si>
  <si>
    <t>no frames to delete</t>
  </si>
  <si>
    <t>50.070 59.044 100.310 90.0 90.0 90.0</t>
  </si>
  <si>
    <t>20.35 w 48000,</t>
  </si>
  <si>
    <t>rescaled to C2</t>
  </si>
  <si>
    <t>58.872 50.026 100.095 90.000 90.172 90.000</t>
  </si>
  <si>
    <t>19.80 w 48000, 69.93 w 18000</t>
  </si>
  <si>
    <t>found 1xCID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</si>
</sst>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"/>
  </numFmts>
  <fonts count="25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8"/>
      <name val="Aptos Narrow"/>
      <family val="2"/>
      <scheme val="minor"/>
    </font>
    <font>
      <b/>
      <sz val="10"/>
      <color rgb="FF0070C0"/>
      <name val="Arial"/>
    </font>
    <font>
      <b/>
      <sz val="10"/>
      <color rgb="FF0070C0"/>
      <name val="Arial"/>
      <charset val="1"/>
    </font>
    <font>
      <sz val="10"/>
      <color rgb="FFFFFFFF"/>
      <name val="Arial"/>
    </font>
    <font>
      <sz val="11"/>
      <color rgb="FFFFFFFF"/>
      <name val="Calibri"/>
      <family val="2"/>
    </font>
    <font>
      <sz val="10"/>
      <color rgb="FFFFFFFF"/>
      <name val="Calibri"/>
    </font>
    <font>
      <sz val="10"/>
      <color rgb="FF000000"/>
      <name val="Arial"/>
    </font>
    <font>
      <sz val="11"/>
      <color rgb="FF000000"/>
      <name val="Calibri"/>
      <family val="2"/>
    </font>
    <font>
      <sz val="10"/>
      <color rgb="FF000000"/>
      <name val="Calibri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424"/>
      <name val="Aptos Narrow"/>
      <charset val="1"/>
    </font>
    <font>
      <sz val="10"/>
      <color rgb="FF0000FF"/>
      <name val="Courier New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Arial"/>
    </font>
    <font>
      <sz val="10"/>
      <color rgb="FFFF0000"/>
      <name val="Arial"/>
    </font>
    <font>
      <sz val="11"/>
      <color rgb="FFFF0000"/>
      <name val="Aptos Narrow"/>
      <family val="2"/>
      <scheme val="minor"/>
    </font>
    <font>
      <sz val="10"/>
      <color rgb="FFFF0000"/>
      <name val="Calibri"/>
    </font>
    <font>
      <sz val="10"/>
      <color rgb="FFFF0000"/>
      <name val="Courier New"/>
      <charset val="1"/>
    </font>
    <font>
      <sz val="10"/>
      <name val="Arial"/>
      <charset val="1"/>
    </font>
    <font>
      <sz val="11"/>
      <color rgb="FF000000"/>
      <name val="Aptos Narrow"/>
      <charset val="1"/>
    </font>
  </fonts>
  <fills count="18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theme="5"/>
        <bgColor indexed="64"/>
      </patternFill>
    </fill>
    <fill>
      <patternFill patternType="solid">
        <fgColor rgb="FF8976A3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A76A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8" fillId="7" borderId="0" xfId="0" applyFont="1" applyFill="1" applyAlignment="1">
      <alignment horizontal="center" wrapText="1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1" applyNumberFormat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3" fillId="2" borderId="1" xfId="0" applyNumberFormat="1" applyFont="1" applyFill="1" applyBorder="1" applyAlignment="1">
      <alignment horizontal="center" textRotation="90"/>
    </xf>
    <xf numFmtId="49" fontId="13" fillId="2" borderId="2" xfId="0" applyNumberFormat="1" applyFont="1" applyFill="1" applyBorder="1" applyAlignment="1">
      <alignment horizontal="center" textRotation="90"/>
    </xf>
    <xf numFmtId="49" fontId="12" fillId="0" borderId="0" xfId="2" applyNumberFormat="1" applyFont="1" applyAlignment="1">
      <alignment horizontal="center"/>
    </xf>
    <xf numFmtId="0" fontId="14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/>
    </xf>
    <xf numFmtId="0" fontId="15" fillId="0" borderId="0" xfId="0" applyFont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6" fillId="0" borderId="0" xfId="0" applyFont="1"/>
    <xf numFmtId="0" fontId="0" fillId="14" borderId="0" xfId="0" applyFill="1" applyAlignment="1">
      <alignment horizontal="center"/>
    </xf>
    <xf numFmtId="0" fontId="17" fillId="15" borderId="0" xfId="0" applyFont="1" applyFill="1" applyAlignment="1">
      <alignment horizontal="center"/>
    </xf>
    <xf numFmtId="164" fontId="17" fillId="15" borderId="0" xfId="1" applyNumberFormat="1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19" fillId="15" borderId="0" xfId="0" applyFont="1" applyFill="1" applyAlignment="1">
      <alignment horizontal="center" wrapText="1"/>
    </xf>
    <xf numFmtId="0" fontId="20" fillId="15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2" fillId="15" borderId="0" xfId="0" applyFont="1" applyFill="1"/>
    <xf numFmtId="0" fontId="16" fillId="0" borderId="0" xfId="0" applyFont="1" applyAlignment="1">
      <alignment wrapText="1"/>
    </xf>
    <xf numFmtId="0" fontId="3" fillId="13" borderId="0" xfId="0" applyFont="1" applyFill="1" applyAlignment="1">
      <alignment horizontal="center"/>
    </xf>
    <xf numFmtId="0" fontId="18" fillId="13" borderId="0" xfId="0" applyFont="1" applyFill="1" applyAlignment="1">
      <alignment horizontal="center"/>
    </xf>
    <xf numFmtId="164" fontId="23" fillId="0" borderId="0" xfId="1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0" fillId="16" borderId="0" xfId="0" applyFill="1" applyAlignment="1">
      <alignment horizontal="center"/>
    </xf>
    <xf numFmtId="49" fontId="13" fillId="2" borderId="3" xfId="0" applyNumberFormat="1" applyFont="1" applyFill="1" applyBorder="1" applyAlignment="1">
      <alignment horizontal="center" textRotation="90"/>
    </xf>
    <xf numFmtId="49" fontId="13" fillId="2" borderId="4" xfId="0" applyNumberFormat="1" applyFont="1" applyFill="1" applyBorder="1" applyAlignment="1">
      <alignment horizontal="center" textRotation="90"/>
    </xf>
    <xf numFmtId="49" fontId="13" fillId="2" borderId="5" xfId="0" applyNumberFormat="1" applyFont="1" applyFill="1" applyBorder="1" applyAlignment="1">
      <alignment horizontal="center" textRotation="90"/>
    </xf>
    <xf numFmtId="0" fontId="1" fillId="16" borderId="0" xfId="0" applyFont="1" applyFill="1" applyAlignment="1">
      <alignment horizontal="center"/>
    </xf>
    <xf numFmtId="164" fontId="1" fillId="16" borderId="0" xfId="1" applyNumberForma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16" borderId="0" xfId="0" applyFont="1" applyFill="1" applyAlignment="1">
      <alignment horizontal="center" wrapText="1"/>
    </xf>
    <xf numFmtId="0" fontId="10" fillId="16" borderId="0" xfId="0" applyFont="1" applyFill="1" applyAlignment="1">
      <alignment horizontal="center"/>
    </xf>
    <xf numFmtId="0" fontId="16" fillId="16" borderId="0" xfId="0" applyFont="1" applyFill="1"/>
    <xf numFmtId="49" fontId="13" fillId="13" borderId="1" xfId="0" applyNumberFormat="1" applyFont="1" applyFill="1" applyBorder="1" applyAlignment="1">
      <alignment horizontal="center" textRotation="90"/>
    </xf>
    <xf numFmtId="0" fontId="20" fillId="1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17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164" fontId="1" fillId="14" borderId="0" xfId="1" applyNumberForma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 wrapText="1"/>
    </xf>
    <xf numFmtId="0" fontId="10" fillId="14" borderId="0" xfId="0" applyFont="1" applyFill="1" applyAlignment="1">
      <alignment horizontal="center"/>
    </xf>
    <xf numFmtId="0" fontId="16" fillId="14" borderId="0" xfId="0" applyFont="1" applyFill="1"/>
  </cellXfs>
  <cellStyles count="3">
    <cellStyle name="Normal" xfId="0" builtinId="0"/>
    <cellStyle name="Normal 2" xfId="2" xr:uid="{6D3D1BF4-5449-48CB-BF32-A012C286B350}"/>
    <cellStyle name="Normal 3" xfId="1" xr:uid="{E941AB49-A116-4681-A3A9-007387D7CDF3}"/>
  </cellStyles>
  <dxfs count="0"/>
  <tableStyles count="0" defaultTableStyle="TableStyleMedium2" defaultPivotStyle="PivotStyleLight16"/>
  <colors>
    <mruColors>
      <color rgb="FF8A76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jah Walker Wilson" id="{E01F7698-563E-42E8-866C-921BE0008FCC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9" dT="2026-01-26T23:43:50.83" personId="{E01F7698-563E-42E8-866C-921BE0008FCC}" id="{1C06D635-EA04-47B4-886A-470D832E62F7}">
    <text>Is this too small to solve  or at least do molecular refinement?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494D-F515-4FE8-B4ED-861D2D253E7C}">
  <dimension ref="A1:CO112"/>
  <sheetViews>
    <sheetView tabSelected="1" workbookViewId="0">
      <pane xSplit="7" ySplit="1" topLeftCell="H2" activePane="bottomRight" state="frozen"/>
      <selection pane="bottomRight" activeCell="AG1" sqref="AG1"/>
      <selection pane="bottomLeft"/>
      <selection pane="topRight"/>
    </sheetView>
  </sheetViews>
  <sheetFormatPr defaultRowHeight="15"/>
  <cols>
    <col min="1" max="1" width="11.140625" style="12" hidden="1" customWidth="1"/>
    <col min="2" max="2" width="8" style="21" hidden="1" customWidth="1"/>
    <col min="3" max="4" width="5.140625" style="12" hidden="1" customWidth="1"/>
    <col min="5" max="5" width="38" style="12" customWidth="1"/>
    <col min="6" max="6" width="9.5703125" style="12" customWidth="1"/>
    <col min="7" max="7" width="13" style="12" hidden="1" customWidth="1"/>
    <col min="8" max="8" width="24.85546875" style="12" customWidth="1"/>
    <col min="9" max="9" width="14.7109375" style="12" customWidth="1"/>
    <col min="10" max="10" width="7.140625" style="12" customWidth="1"/>
    <col min="11" max="11" width="16" style="12" customWidth="1"/>
    <col min="12" max="12" width="19.85546875" style="12" customWidth="1"/>
    <col min="13" max="13" width="33.85546875" style="12" customWidth="1"/>
    <col min="14" max="14" width="26.42578125" style="12" customWidth="1"/>
    <col min="15" max="15" width="13.5703125" style="12" bestFit="1" customWidth="1"/>
    <col min="16" max="16" width="13.42578125" style="12" customWidth="1"/>
    <col min="17" max="17" width="9" style="12" customWidth="1"/>
    <col min="18" max="18" width="29" style="12" customWidth="1"/>
    <col min="19" max="19" width="20.42578125" style="12" customWidth="1"/>
    <col min="20" max="20" width="6.85546875" style="12" bestFit="1" customWidth="1"/>
    <col min="21" max="21" width="43.42578125" style="12" bestFit="1" customWidth="1"/>
    <col min="22" max="22" width="6.140625" style="33" bestFit="1" customWidth="1"/>
    <col min="23" max="23" width="6.140625" style="12" bestFit="1" customWidth="1"/>
    <col min="24" max="24" width="6.5703125" style="12" bestFit="1" customWidth="1"/>
    <col min="25" max="26" width="5.140625" style="12" bestFit="1" customWidth="1"/>
    <col min="27" max="28" width="6.140625" style="12" bestFit="1" customWidth="1"/>
    <col min="29" max="29" width="5.140625" style="12" bestFit="1" customWidth="1"/>
    <col min="30" max="32" width="15.28515625" style="12" customWidth="1"/>
    <col min="33" max="33" width="45.28515625" style="12" customWidth="1"/>
    <col min="34" max="34" width="99.42578125" style="12" customWidth="1"/>
    <col min="35" max="36" width="8.85546875" style="12" customWidth="1"/>
    <col min="37" max="37" width="16.5703125" style="12" customWidth="1"/>
    <col min="38" max="38" width="8.85546875" style="12" customWidth="1"/>
    <col min="39" max="16384" width="9.140625" style="12"/>
  </cols>
  <sheetData>
    <row r="1" spans="1:93" s="10" customFormat="1" ht="93" customHeight="1">
      <c r="A1" s="22" t="s">
        <v>0</v>
      </c>
      <c r="B1" s="23" t="s">
        <v>1</v>
      </c>
      <c r="C1" s="23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52" t="s">
        <v>11</v>
      </c>
      <c r="M1" s="51" t="s">
        <v>12</v>
      </c>
      <c r="N1" s="53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61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/>
      <c r="AN1" s="22"/>
      <c r="AO1" s="22"/>
      <c r="AP1" s="22"/>
    </row>
    <row r="2" spans="1:93" s="21" customFormat="1">
      <c r="A2" s="13" t="s">
        <v>38</v>
      </c>
      <c r="B2" s="14" t="s">
        <v>39</v>
      </c>
      <c r="C2" s="24" t="s">
        <v>40</v>
      </c>
      <c r="D2" s="24" t="s">
        <v>40</v>
      </c>
      <c r="E2" s="24" t="s">
        <v>41</v>
      </c>
      <c r="F2" s="24" t="s">
        <v>40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33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</row>
    <row r="3" spans="1:93" ht="35.25">
      <c r="A3" s="13" t="s">
        <v>38</v>
      </c>
      <c r="B3" s="14" t="s">
        <v>39</v>
      </c>
      <c r="C3" s="1" t="s">
        <v>42</v>
      </c>
      <c r="D3" s="1" t="s">
        <v>42</v>
      </c>
      <c r="E3" s="15" t="s">
        <v>43</v>
      </c>
      <c r="F3" s="1" t="s">
        <v>42</v>
      </c>
      <c r="G3" s="4" t="s">
        <v>44</v>
      </c>
      <c r="I3" s="4" t="s">
        <v>45</v>
      </c>
      <c r="L3" s="6" t="s">
        <v>46</v>
      </c>
      <c r="M3" s="29" t="s">
        <v>47</v>
      </c>
      <c r="N3" s="12" t="s">
        <v>48</v>
      </c>
      <c r="O3" s="12">
        <v>0.94479999999999997</v>
      </c>
      <c r="P3" s="12">
        <v>0.35</v>
      </c>
      <c r="Q3" s="12">
        <v>16.39</v>
      </c>
      <c r="S3" s="12" t="s">
        <v>49</v>
      </c>
    </row>
    <row r="4" spans="1:93">
      <c r="A4" s="13"/>
      <c r="B4" s="14"/>
      <c r="C4" s="1" t="s">
        <v>50</v>
      </c>
      <c r="D4" s="1" t="s">
        <v>51</v>
      </c>
      <c r="E4" s="15"/>
      <c r="F4" s="1" t="s">
        <v>50</v>
      </c>
      <c r="G4" s="4"/>
      <c r="I4" s="4"/>
      <c r="L4" s="6"/>
      <c r="M4" s="29" t="s">
        <v>52</v>
      </c>
      <c r="N4" s="12" t="s">
        <v>53</v>
      </c>
      <c r="O4" s="63">
        <f>(41+5.1)/(100-3.1)</f>
        <v>0.47574819401444784</v>
      </c>
      <c r="P4" s="12">
        <v>0.55000000000000004</v>
      </c>
      <c r="Q4" s="12">
        <v>16.37</v>
      </c>
      <c r="R4" s="12" t="s">
        <v>54</v>
      </c>
      <c r="S4" s="12" t="s">
        <v>54</v>
      </c>
      <c r="T4" s="12" t="s">
        <v>55</v>
      </c>
      <c r="U4" s="31" t="s">
        <v>56</v>
      </c>
      <c r="V4" s="33">
        <v>1.8560000000000001</v>
      </c>
      <c r="W4" s="12">
        <v>0.128</v>
      </c>
      <c r="X4" s="12">
        <v>22095</v>
      </c>
      <c r="Y4" s="12">
        <v>90.5</v>
      </c>
      <c r="Z4" s="12">
        <v>19.8</v>
      </c>
      <c r="AA4" s="12">
        <v>1.8049999999999999</v>
      </c>
      <c r="AB4" s="12">
        <v>0.121</v>
      </c>
      <c r="AC4" s="12">
        <v>76.2</v>
      </c>
    </row>
    <row r="5" spans="1:93">
      <c r="A5" s="13"/>
      <c r="B5" s="14"/>
      <c r="C5" s="1"/>
      <c r="D5" s="1" t="s">
        <v>57</v>
      </c>
      <c r="E5" s="15"/>
      <c r="F5" s="1" t="s">
        <v>58</v>
      </c>
      <c r="G5" s="4"/>
      <c r="I5" s="4"/>
      <c r="L5" s="6"/>
      <c r="M5" s="29" t="s">
        <v>59</v>
      </c>
      <c r="N5" s="12" t="s">
        <v>48</v>
      </c>
      <c r="O5" s="12">
        <v>0.90900000000000003</v>
      </c>
      <c r="P5" s="12">
        <v>0.18</v>
      </c>
      <c r="Q5" s="12">
        <v>16.39</v>
      </c>
      <c r="R5" s="12">
        <v>200</v>
      </c>
      <c r="S5" s="12" t="s">
        <v>60</v>
      </c>
      <c r="T5" s="12" t="s">
        <v>61</v>
      </c>
      <c r="U5" s="31" t="s">
        <v>62</v>
      </c>
      <c r="V5" s="33">
        <v>1.897</v>
      </c>
      <c r="W5" s="12">
        <v>0.44800000000000001</v>
      </c>
      <c r="X5" s="12">
        <v>65939</v>
      </c>
      <c r="Y5" s="12">
        <v>95.6</v>
      </c>
      <c r="Z5" s="12">
        <v>31</v>
      </c>
      <c r="AA5" s="12">
        <v>1.7809999999999999</v>
      </c>
      <c r="AB5" s="12">
        <v>0.27100000000000002</v>
      </c>
      <c r="AC5" s="12">
        <v>65.5</v>
      </c>
    </row>
    <row r="6" spans="1:93">
      <c r="A6" s="13" t="s">
        <v>38</v>
      </c>
      <c r="B6" s="14" t="s">
        <v>39</v>
      </c>
      <c r="C6" s="1" t="s">
        <v>63</v>
      </c>
      <c r="D6" s="1" t="s">
        <v>63</v>
      </c>
      <c r="E6" s="15" t="s">
        <v>43</v>
      </c>
      <c r="F6" s="1" t="s">
        <v>63</v>
      </c>
      <c r="G6" s="4" t="s">
        <v>44</v>
      </c>
      <c r="I6" s="4" t="s">
        <v>45</v>
      </c>
      <c r="L6" s="6" t="s">
        <v>46</v>
      </c>
      <c r="M6" s="29" t="s">
        <v>64</v>
      </c>
      <c r="N6" s="12" t="s">
        <v>65</v>
      </c>
      <c r="O6" s="12">
        <v>0.442</v>
      </c>
      <c r="P6" s="12">
        <v>0.18</v>
      </c>
      <c r="Q6" s="12">
        <v>20.57</v>
      </c>
      <c r="R6" s="12">
        <v>364</v>
      </c>
      <c r="S6" s="49" t="s">
        <v>66</v>
      </c>
      <c r="T6" s="12" t="s">
        <v>61</v>
      </c>
      <c r="U6" s="12" t="s">
        <v>67</v>
      </c>
      <c r="V6" s="33">
        <v>2.117</v>
      </c>
      <c r="W6" s="12">
        <v>0.13500000000000001</v>
      </c>
      <c r="X6" s="12">
        <v>47229</v>
      </c>
      <c r="Y6" s="12">
        <v>95.1</v>
      </c>
      <c r="Z6" s="12">
        <v>5.6</v>
      </c>
      <c r="AA6" s="12">
        <v>1.8180000000000001</v>
      </c>
      <c r="AB6" s="12">
        <v>0.13</v>
      </c>
      <c r="AC6" s="12">
        <v>55.1</v>
      </c>
    </row>
    <row r="7" spans="1:93">
      <c r="A7" s="13" t="s">
        <v>38</v>
      </c>
      <c r="B7" s="14" t="s">
        <v>39</v>
      </c>
      <c r="C7" s="1" t="s">
        <v>68</v>
      </c>
      <c r="D7" s="1" t="s">
        <v>68</v>
      </c>
      <c r="E7" s="15" t="s">
        <v>69</v>
      </c>
      <c r="F7" s="1" t="s">
        <v>68</v>
      </c>
      <c r="G7" s="4" t="s">
        <v>70</v>
      </c>
      <c r="I7" s="4" t="s">
        <v>71</v>
      </c>
      <c r="L7" s="6" t="s">
        <v>46</v>
      </c>
      <c r="M7" s="12" t="s">
        <v>72</v>
      </c>
    </row>
    <row r="8" spans="1:93">
      <c r="A8" s="13" t="s">
        <v>38</v>
      </c>
      <c r="B8" s="14" t="s">
        <v>39</v>
      </c>
      <c r="C8" s="1" t="s">
        <v>73</v>
      </c>
      <c r="D8" s="1" t="s">
        <v>73</v>
      </c>
      <c r="E8" s="15" t="s">
        <v>43</v>
      </c>
      <c r="F8" s="1" t="s">
        <v>73</v>
      </c>
      <c r="G8" s="4" t="s">
        <v>44</v>
      </c>
      <c r="I8" s="4" t="s">
        <v>74</v>
      </c>
      <c r="L8" s="6" t="s">
        <v>46</v>
      </c>
      <c r="M8" s="29" t="s">
        <v>75</v>
      </c>
      <c r="N8" s="12" t="s">
        <v>76</v>
      </c>
      <c r="O8" s="12">
        <v>0.33989999999999998</v>
      </c>
      <c r="P8" s="12">
        <v>0.19500000000000001</v>
      </c>
      <c r="Q8" s="12">
        <v>20.350000000000001</v>
      </c>
      <c r="R8" s="12" t="s">
        <v>54</v>
      </c>
      <c r="S8" s="12" t="s">
        <v>54</v>
      </c>
      <c r="T8" s="12" t="s">
        <v>55</v>
      </c>
      <c r="U8" s="12" t="s">
        <v>77</v>
      </c>
      <c r="V8" s="33">
        <v>1.839</v>
      </c>
      <c r="W8" s="12">
        <v>0.11799999999999999</v>
      </c>
      <c r="X8" s="12">
        <v>22934</v>
      </c>
      <c r="Y8" s="12">
        <v>90.8</v>
      </c>
      <c r="Z8" s="12">
        <v>13.9</v>
      </c>
      <c r="AA8" s="12">
        <v>1.7450000000000001</v>
      </c>
      <c r="AB8" s="12">
        <v>0.121</v>
      </c>
      <c r="AC8" s="12">
        <v>80.5</v>
      </c>
    </row>
    <row r="9" spans="1:93">
      <c r="A9" s="13" t="s">
        <v>38</v>
      </c>
      <c r="B9" s="14" t="s">
        <v>39</v>
      </c>
      <c r="C9" s="1" t="s">
        <v>78</v>
      </c>
      <c r="D9" s="1" t="s">
        <v>78</v>
      </c>
      <c r="E9" s="15" t="s">
        <v>43</v>
      </c>
      <c r="F9" s="1" t="s">
        <v>78</v>
      </c>
      <c r="G9" s="4" t="s">
        <v>44</v>
      </c>
      <c r="I9" s="4" t="s">
        <v>74</v>
      </c>
      <c r="L9" s="6" t="s">
        <v>46</v>
      </c>
      <c r="M9" s="29" t="s">
        <v>79</v>
      </c>
      <c r="N9" s="12" t="s">
        <v>48</v>
      </c>
      <c r="O9" s="12">
        <v>7.2999999999999995E-2</v>
      </c>
      <c r="P9" s="12">
        <v>0.45</v>
      </c>
      <c r="Q9" s="12">
        <v>12.91</v>
      </c>
      <c r="R9" s="12" t="s">
        <v>80</v>
      </c>
      <c r="S9" s="12" t="s">
        <v>54</v>
      </c>
      <c r="T9" s="12" t="s">
        <v>55</v>
      </c>
      <c r="U9" s="31" t="s">
        <v>81</v>
      </c>
      <c r="V9" s="33">
        <v>2.1760000000000002</v>
      </c>
      <c r="W9" s="12">
        <v>0.188</v>
      </c>
      <c r="X9" s="12">
        <v>11481</v>
      </c>
      <c r="Y9" s="12">
        <v>76.900000000000006</v>
      </c>
      <c r="Z9" s="12">
        <v>12.4</v>
      </c>
      <c r="AA9" s="12">
        <v>2.1920000000000002</v>
      </c>
      <c r="AB9" s="12">
        <v>0.18099999999999999</v>
      </c>
      <c r="AC9" s="12">
        <v>73.2</v>
      </c>
    </row>
    <row r="10" spans="1:93">
      <c r="A10" s="13" t="s">
        <v>38</v>
      </c>
      <c r="B10" s="14" t="s">
        <v>39</v>
      </c>
      <c r="C10" s="1" t="s">
        <v>82</v>
      </c>
      <c r="D10" s="1" t="s">
        <v>82</v>
      </c>
      <c r="E10" s="15" t="s">
        <v>43</v>
      </c>
      <c r="F10" s="1" t="s">
        <v>82</v>
      </c>
      <c r="G10" s="4" t="s">
        <v>44</v>
      </c>
      <c r="I10" s="4" t="s">
        <v>74</v>
      </c>
      <c r="L10" s="6" t="s">
        <v>46</v>
      </c>
      <c r="M10" s="12" t="s">
        <v>83</v>
      </c>
    </row>
    <row r="11" spans="1:93">
      <c r="A11" s="13" t="s">
        <v>38</v>
      </c>
      <c r="B11" s="14" t="s">
        <v>39</v>
      </c>
      <c r="C11" s="1" t="s">
        <v>84</v>
      </c>
      <c r="D11" s="1" t="s">
        <v>84</v>
      </c>
      <c r="E11" s="15" t="s">
        <v>43</v>
      </c>
      <c r="F11" s="1" t="s">
        <v>84</v>
      </c>
      <c r="G11" s="4" t="s">
        <v>44</v>
      </c>
      <c r="I11" s="4" t="s">
        <v>74</v>
      </c>
      <c r="L11" s="6" t="s">
        <v>46</v>
      </c>
      <c r="M11" s="12" t="s">
        <v>85</v>
      </c>
    </row>
    <row r="12" spans="1:93">
      <c r="A12" s="13" t="s">
        <v>38</v>
      </c>
      <c r="B12" s="14" t="s">
        <v>39</v>
      </c>
      <c r="C12" s="1" t="s">
        <v>86</v>
      </c>
      <c r="D12" s="1" t="s">
        <v>86</v>
      </c>
      <c r="E12" s="15" t="s">
        <v>43</v>
      </c>
      <c r="F12" s="1" t="s">
        <v>86</v>
      </c>
      <c r="G12" s="4" t="s">
        <v>44</v>
      </c>
      <c r="I12" s="4" t="s">
        <v>74</v>
      </c>
      <c r="L12" s="6" t="s">
        <v>46</v>
      </c>
      <c r="M12" s="12" t="s">
        <v>87</v>
      </c>
    </row>
    <row r="13" spans="1:93">
      <c r="A13" s="13" t="s">
        <v>38</v>
      </c>
      <c r="B13" s="14" t="s">
        <v>39</v>
      </c>
      <c r="C13" s="1" t="s">
        <v>88</v>
      </c>
      <c r="D13" s="1" t="s">
        <v>88</v>
      </c>
      <c r="E13" s="15" t="s">
        <v>43</v>
      </c>
      <c r="F13" s="1" t="s">
        <v>88</v>
      </c>
      <c r="G13" s="4" t="s">
        <v>44</v>
      </c>
      <c r="I13" s="4" t="s">
        <v>74</v>
      </c>
      <c r="L13" s="6" t="s">
        <v>46</v>
      </c>
      <c r="M13" s="12" t="s">
        <v>89</v>
      </c>
    </row>
    <row r="14" spans="1:93">
      <c r="A14" s="13" t="s">
        <v>38</v>
      </c>
      <c r="B14" s="14" t="s">
        <v>39</v>
      </c>
      <c r="C14" s="1" t="s">
        <v>90</v>
      </c>
      <c r="D14" s="1" t="s">
        <v>90</v>
      </c>
      <c r="E14" s="15" t="s">
        <v>43</v>
      </c>
      <c r="F14" s="1" t="s">
        <v>90</v>
      </c>
      <c r="G14" s="4" t="s">
        <v>44</v>
      </c>
      <c r="I14" s="4" t="s">
        <v>74</v>
      </c>
      <c r="L14" s="6" t="s">
        <v>91</v>
      </c>
      <c r="M14" s="12" t="s">
        <v>92</v>
      </c>
    </row>
    <row r="15" spans="1:93">
      <c r="A15" s="13" t="s">
        <v>38</v>
      </c>
      <c r="B15" s="14" t="s">
        <v>39</v>
      </c>
      <c r="C15" s="1" t="s">
        <v>93</v>
      </c>
      <c r="D15" s="1" t="s">
        <v>93</v>
      </c>
      <c r="E15" s="15" t="s">
        <v>43</v>
      </c>
      <c r="F15" s="1" t="s">
        <v>93</v>
      </c>
      <c r="G15" s="4" t="s">
        <v>44</v>
      </c>
      <c r="I15" s="4" t="s">
        <v>74</v>
      </c>
      <c r="L15" s="6" t="s">
        <v>91</v>
      </c>
      <c r="M15" s="12" t="s">
        <v>94</v>
      </c>
    </row>
    <row r="16" spans="1:93">
      <c r="A16" s="13" t="s">
        <v>38</v>
      </c>
      <c r="B16" s="14" t="s">
        <v>39</v>
      </c>
      <c r="C16" s="1" t="s">
        <v>95</v>
      </c>
      <c r="D16" s="1" t="s">
        <v>95</v>
      </c>
      <c r="E16" s="15" t="s">
        <v>43</v>
      </c>
      <c r="F16" s="1" t="s">
        <v>95</v>
      </c>
      <c r="G16" s="4" t="s">
        <v>44</v>
      </c>
      <c r="I16" s="4" t="s">
        <v>74</v>
      </c>
      <c r="L16" s="6" t="s">
        <v>46</v>
      </c>
      <c r="M16" s="12" t="s">
        <v>96</v>
      </c>
    </row>
    <row r="17" spans="1:13">
      <c r="A17" s="13" t="s">
        <v>38</v>
      </c>
      <c r="B17" s="14" t="s">
        <v>39</v>
      </c>
      <c r="C17" s="1" t="s">
        <v>97</v>
      </c>
      <c r="D17" s="1" t="s">
        <v>97</v>
      </c>
      <c r="E17" s="15" t="s">
        <v>69</v>
      </c>
      <c r="F17" s="1" t="s">
        <v>97</v>
      </c>
      <c r="G17" s="4" t="s">
        <v>70</v>
      </c>
      <c r="I17" s="4" t="s">
        <v>71</v>
      </c>
      <c r="L17" s="6" t="s">
        <v>46</v>
      </c>
      <c r="M17" s="12" t="s">
        <v>98</v>
      </c>
    </row>
    <row r="18" spans="1:13">
      <c r="A18" s="13" t="s">
        <v>38</v>
      </c>
      <c r="B18" s="14" t="s">
        <v>39</v>
      </c>
      <c r="C18" s="1" t="s">
        <v>99</v>
      </c>
      <c r="D18" s="1" t="s">
        <v>99</v>
      </c>
      <c r="E18" s="15" t="s">
        <v>69</v>
      </c>
      <c r="F18" s="1" t="s">
        <v>99</v>
      </c>
      <c r="G18" s="4" t="s">
        <v>70</v>
      </c>
      <c r="I18" s="4" t="s">
        <v>71</v>
      </c>
      <c r="L18" s="6" t="s">
        <v>46</v>
      </c>
      <c r="M18" s="12" t="s">
        <v>100</v>
      </c>
    </row>
    <row r="19" spans="1:13">
      <c r="A19" s="13" t="s">
        <v>38</v>
      </c>
      <c r="B19" s="14" t="s">
        <v>39</v>
      </c>
      <c r="C19" s="1" t="s">
        <v>101</v>
      </c>
      <c r="D19" s="1" t="s">
        <v>101</v>
      </c>
      <c r="E19" s="15" t="s">
        <v>69</v>
      </c>
      <c r="F19" s="1" t="s">
        <v>101</v>
      </c>
      <c r="G19" s="4" t="s">
        <v>70</v>
      </c>
      <c r="I19" s="4" t="s">
        <v>71</v>
      </c>
      <c r="L19" s="6" t="s">
        <v>46</v>
      </c>
      <c r="M19" s="12" t="s">
        <v>102</v>
      </c>
    </row>
    <row r="20" spans="1:13">
      <c r="A20" s="13" t="s">
        <v>38</v>
      </c>
      <c r="B20" s="14" t="s">
        <v>39</v>
      </c>
      <c r="C20" s="1" t="s">
        <v>103</v>
      </c>
      <c r="D20" s="1" t="s">
        <v>103</v>
      </c>
      <c r="E20" s="15" t="s">
        <v>69</v>
      </c>
      <c r="F20" s="1" t="s">
        <v>103</v>
      </c>
      <c r="G20" s="4" t="s">
        <v>70</v>
      </c>
      <c r="I20" s="4" t="s">
        <v>71</v>
      </c>
      <c r="L20" s="6" t="s">
        <v>46</v>
      </c>
      <c r="M20" s="12" t="s">
        <v>96</v>
      </c>
    </row>
    <row r="21" spans="1:13">
      <c r="A21" s="13" t="s">
        <v>38</v>
      </c>
      <c r="B21" s="14" t="s">
        <v>39</v>
      </c>
      <c r="C21" s="1" t="s">
        <v>104</v>
      </c>
      <c r="D21" s="1" t="s">
        <v>104</v>
      </c>
      <c r="E21" s="15" t="s">
        <v>105</v>
      </c>
      <c r="F21" s="1" t="s">
        <v>104</v>
      </c>
      <c r="G21" s="26" t="s">
        <v>106</v>
      </c>
      <c r="I21" s="26" t="s">
        <v>107</v>
      </c>
      <c r="L21" s="27" t="s">
        <v>108</v>
      </c>
      <c r="M21" s="12" t="s">
        <v>109</v>
      </c>
    </row>
    <row r="22" spans="1:13">
      <c r="A22" s="13" t="s">
        <v>38</v>
      </c>
      <c r="B22" s="14" t="s">
        <v>39</v>
      </c>
      <c r="C22" s="1" t="s">
        <v>110</v>
      </c>
      <c r="D22" s="1" t="s">
        <v>110</v>
      </c>
      <c r="E22" s="15" t="s">
        <v>69</v>
      </c>
      <c r="F22" s="1" t="s">
        <v>110</v>
      </c>
      <c r="G22" s="26" t="s">
        <v>111</v>
      </c>
      <c r="I22" s="26" t="s">
        <v>112</v>
      </c>
      <c r="L22" s="27" t="s">
        <v>46</v>
      </c>
      <c r="M22" s="12" t="s">
        <v>109</v>
      </c>
    </row>
    <row r="23" spans="1:13">
      <c r="A23" s="13" t="s">
        <v>38</v>
      </c>
      <c r="B23" s="14" t="s">
        <v>39</v>
      </c>
      <c r="C23" s="1" t="s">
        <v>113</v>
      </c>
      <c r="D23" s="1" t="s">
        <v>113</v>
      </c>
      <c r="E23" s="15" t="s">
        <v>114</v>
      </c>
      <c r="F23" s="1" t="s">
        <v>113</v>
      </c>
      <c r="G23" s="26" t="s">
        <v>115</v>
      </c>
      <c r="I23" s="26" t="s">
        <v>112</v>
      </c>
      <c r="L23" s="27" t="s">
        <v>46</v>
      </c>
      <c r="M23" s="12" t="s">
        <v>116</v>
      </c>
    </row>
    <row r="24" spans="1:13">
      <c r="A24" s="13" t="s">
        <v>38</v>
      </c>
      <c r="B24" s="14" t="s">
        <v>39</v>
      </c>
      <c r="C24" s="1" t="s">
        <v>117</v>
      </c>
      <c r="D24" s="1" t="s">
        <v>117</v>
      </c>
      <c r="E24" s="15" t="s">
        <v>114</v>
      </c>
      <c r="F24" s="1" t="s">
        <v>117</v>
      </c>
      <c r="G24" s="26" t="s">
        <v>118</v>
      </c>
      <c r="I24" s="26" t="s">
        <v>112</v>
      </c>
      <c r="L24" s="27" t="s">
        <v>46</v>
      </c>
      <c r="M24" s="12" t="s">
        <v>119</v>
      </c>
    </row>
    <row r="25" spans="1:13">
      <c r="A25" s="13" t="s">
        <v>38</v>
      </c>
      <c r="B25" s="14" t="s">
        <v>39</v>
      </c>
      <c r="C25" s="1" t="s">
        <v>120</v>
      </c>
      <c r="D25" s="1" t="s">
        <v>120</v>
      </c>
      <c r="E25" s="15" t="s">
        <v>121</v>
      </c>
      <c r="F25" s="1" t="s">
        <v>120</v>
      </c>
      <c r="G25" s="26" t="s">
        <v>122</v>
      </c>
      <c r="I25" s="26" t="s">
        <v>123</v>
      </c>
      <c r="L25" s="27" t="s">
        <v>46</v>
      </c>
      <c r="M25" s="12" t="s">
        <v>119</v>
      </c>
    </row>
    <row r="26" spans="1:13">
      <c r="A26" s="13" t="s">
        <v>38</v>
      </c>
      <c r="B26" s="14" t="s">
        <v>39</v>
      </c>
      <c r="C26" s="1" t="s">
        <v>124</v>
      </c>
      <c r="D26" s="1" t="s">
        <v>124</v>
      </c>
      <c r="E26" s="25" t="s">
        <v>125</v>
      </c>
      <c r="F26" s="1" t="s">
        <v>124</v>
      </c>
      <c r="G26" s="4" t="s">
        <v>126</v>
      </c>
      <c r="I26" s="4" t="s">
        <v>127</v>
      </c>
      <c r="L26" s="6" t="s">
        <v>46</v>
      </c>
      <c r="M26" s="12" t="s">
        <v>72</v>
      </c>
    </row>
    <row r="27" spans="1:13">
      <c r="A27" s="13" t="s">
        <v>38</v>
      </c>
      <c r="B27" s="14" t="s">
        <v>39</v>
      </c>
      <c r="C27" s="1" t="s">
        <v>128</v>
      </c>
      <c r="D27" s="1" t="s">
        <v>128</v>
      </c>
      <c r="E27" s="25" t="s">
        <v>129</v>
      </c>
      <c r="F27" s="1" t="s">
        <v>128</v>
      </c>
      <c r="G27" s="4" t="s">
        <v>126</v>
      </c>
      <c r="I27" s="4" t="s">
        <v>127</v>
      </c>
      <c r="L27" s="6" t="s">
        <v>46</v>
      </c>
      <c r="M27" s="12" t="s">
        <v>130</v>
      </c>
    </row>
    <row r="28" spans="1:13">
      <c r="A28" s="13" t="s">
        <v>38</v>
      </c>
      <c r="B28" s="14" t="s">
        <v>39</v>
      </c>
      <c r="C28" s="1" t="s">
        <v>131</v>
      </c>
      <c r="D28" s="1" t="s">
        <v>131</v>
      </c>
      <c r="E28" s="25" t="s">
        <v>132</v>
      </c>
      <c r="F28" s="1" t="s">
        <v>131</v>
      </c>
      <c r="G28" s="4" t="s">
        <v>133</v>
      </c>
      <c r="I28" s="4" t="s">
        <v>134</v>
      </c>
      <c r="L28" s="6" t="s">
        <v>46</v>
      </c>
      <c r="M28" s="12" t="s">
        <v>109</v>
      </c>
    </row>
    <row r="29" spans="1:13">
      <c r="A29" s="13" t="s">
        <v>38</v>
      </c>
      <c r="B29" s="14" t="s">
        <v>39</v>
      </c>
      <c r="C29" s="1" t="s">
        <v>135</v>
      </c>
      <c r="D29" s="1" t="s">
        <v>135</v>
      </c>
      <c r="E29" s="25" t="s">
        <v>136</v>
      </c>
      <c r="F29" s="1" t="s">
        <v>135</v>
      </c>
      <c r="G29" s="4" t="s">
        <v>137</v>
      </c>
      <c r="I29" s="4" t="s">
        <v>138</v>
      </c>
      <c r="L29" s="6" t="s">
        <v>108</v>
      </c>
      <c r="M29" s="12" t="s">
        <v>139</v>
      </c>
    </row>
    <row r="30" spans="1:13">
      <c r="A30" s="13" t="s">
        <v>38</v>
      </c>
      <c r="B30" s="14" t="s">
        <v>39</v>
      </c>
      <c r="C30" s="1" t="s">
        <v>140</v>
      </c>
      <c r="D30" s="1" t="s">
        <v>140</v>
      </c>
      <c r="E30" s="25" t="s">
        <v>141</v>
      </c>
      <c r="F30" s="1" t="s">
        <v>140</v>
      </c>
      <c r="G30" s="4" t="s">
        <v>137</v>
      </c>
      <c r="I30" s="4" t="s">
        <v>142</v>
      </c>
      <c r="L30" s="6" t="s">
        <v>108</v>
      </c>
      <c r="M30" s="12" t="s">
        <v>143</v>
      </c>
    </row>
    <row r="31" spans="1:13">
      <c r="A31" s="13" t="s">
        <v>38</v>
      </c>
      <c r="B31" s="14" t="s">
        <v>39</v>
      </c>
      <c r="C31" s="1" t="s">
        <v>144</v>
      </c>
      <c r="D31" s="1" t="s">
        <v>144</v>
      </c>
      <c r="E31" s="25" t="s">
        <v>145</v>
      </c>
      <c r="F31" s="1" t="s">
        <v>144</v>
      </c>
      <c r="G31" s="4" t="s">
        <v>146</v>
      </c>
      <c r="I31" s="4" t="s">
        <v>147</v>
      </c>
      <c r="L31" s="6" t="s">
        <v>148</v>
      </c>
      <c r="M31" s="12" t="s">
        <v>72</v>
      </c>
    </row>
    <row r="32" spans="1:13">
      <c r="A32" s="13" t="s">
        <v>38</v>
      </c>
      <c r="B32" s="14" t="s">
        <v>39</v>
      </c>
      <c r="C32" s="1" t="s">
        <v>149</v>
      </c>
      <c r="D32" s="1" t="s">
        <v>149</v>
      </c>
      <c r="E32" s="25" t="s">
        <v>150</v>
      </c>
      <c r="F32" s="1" t="s">
        <v>149</v>
      </c>
      <c r="G32" s="4" t="s">
        <v>146</v>
      </c>
      <c r="I32" s="4" t="s">
        <v>147</v>
      </c>
      <c r="L32" s="6" t="s">
        <v>151</v>
      </c>
      <c r="M32" s="12" t="s">
        <v>72</v>
      </c>
    </row>
    <row r="33" spans="1:29">
      <c r="A33" s="13" t="s">
        <v>38</v>
      </c>
      <c r="B33" s="14" t="s">
        <v>39</v>
      </c>
      <c r="C33" s="2" t="s">
        <v>152</v>
      </c>
      <c r="D33" s="2" t="s">
        <v>152</v>
      </c>
      <c r="E33" s="16" t="s">
        <v>153</v>
      </c>
      <c r="F33" s="2" t="s">
        <v>152</v>
      </c>
      <c r="G33" s="5"/>
      <c r="H33" s="17"/>
      <c r="I33" s="5"/>
      <c r="J33" s="17"/>
      <c r="K33" s="17"/>
      <c r="L33" s="8"/>
    </row>
    <row r="34" spans="1:29">
      <c r="A34" s="13" t="s">
        <v>38</v>
      </c>
      <c r="B34" s="14" t="s">
        <v>39</v>
      </c>
      <c r="C34" s="2" t="s">
        <v>154</v>
      </c>
      <c r="D34" s="2" t="s">
        <v>154</v>
      </c>
      <c r="E34" s="16" t="s">
        <v>153</v>
      </c>
      <c r="F34" s="2" t="s">
        <v>154</v>
      </c>
      <c r="G34" s="5"/>
      <c r="H34" s="17"/>
      <c r="I34" s="5"/>
      <c r="J34" s="17"/>
      <c r="K34" s="17"/>
      <c r="L34" s="8"/>
    </row>
    <row r="35" spans="1:29">
      <c r="A35" s="13" t="s">
        <v>38</v>
      </c>
      <c r="B35" s="14" t="s">
        <v>39</v>
      </c>
      <c r="C35" s="1" t="s">
        <v>155</v>
      </c>
      <c r="D35" s="1" t="s">
        <v>155</v>
      </c>
      <c r="E35" s="15" t="s">
        <v>156</v>
      </c>
      <c r="F35" s="1" t="s">
        <v>155</v>
      </c>
      <c r="G35" s="4" t="s">
        <v>146</v>
      </c>
      <c r="I35" s="4" t="s">
        <v>157</v>
      </c>
      <c r="L35" s="6" t="s">
        <v>158</v>
      </c>
      <c r="M35" s="12" t="s">
        <v>72</v>
      </c>
    </row>
    <row r="36" spans="1:29">
      <c r="A36" s="13" t="s">
        <v>38</v>
      </c>
      <c r="B36" s="14" t="s">
        <v>39</v>
      </c>
      <c r="C36" s="1" t="s">
        <v>159</v>
      </c>
      <c r="D36" s="1" t="s">
        <v>159</v>
      </c>
      <c r="E36" s="15" t="s">
        <v>156</v>
      </c>
      <c r="F36" s="1" t="s">
        <v>159</v>
      </c>
      <c r="G36" s="4" t="s">
        <v>146</v>
      </c>
      <c r="I36" s="4" t="s">
        <v>157</v>
      </c>
      <c r="L36" s="6" t="s">
        <v>158</v>
      </c>
      <c r="M36" s="29" t="s">
        <v>160</v>
      </c>
      <c r="N36" s="12" t="s">
        <v>161</v>
      </c>
      <c r="O36" s="12">
        <v>0.97219999999999995</v>
      </c>
      <c r="P36" s="12">
        <v>0.155</v>
      </c>
      <c r="Q36" s="12">
        <v>26.01</v>
      </c>
      <c r="R36" s="12" t="s">
        <v>54</v>
      </c>
      <c r="S36" s="12" t="s">
        <v>54</v>
      </c>
      <c r="T36" s="12" t="s">
        <v>55</v>
      </c>
      <c r="U36" s="12" t="s">
        <v>162</v>
      </c>
      <c r="V36" s="33">
        <v>1.5509999999999999</v>
      </c>
      <c r="W36" s="12">
        <v>5.2999999999999999E-2</v>
      </c>
      <c r="X36" s="12">
        <v>28150</v>
      </c>
      <c r="Y36" s="12">
        <v>82.9</v>
      </c>
      <c r="Z36" s="12">
        <v>15.3</v>
      </c>
      <c r="AA36" s="12">
        <v>1.5449999999999999</v>
      </c>
      <c r="AB36" s="12">
        <v>5.2999999999999999E-2</v>
      </c>
      <c r="AC36" s="12">
        <v>81.900000000000006</v>
      </c>
    </row>
    <row r="37" spans="1:29">
      <c r="A37" s="13"/>
      <c r="B37" s="14"/>
      <c r="C37" s="1" t="s">
        <v>163</v>
      </c>
      <c r="D37" s="1" t="s">
        <v>163</v>
      </c>
      <c r="E37" s="15"/>
      <c r="F37" s="1" t="s">
        <v>163</v>
      </c>
      <c r="G37" s="4"/>
      <c r="I37" s="4"/>
      <c r="L37" s="6"/>
      <c r="M37" s="29" t="s">
        <v>52</v>
      </c>
      <c r="N37" s="12" t="s">
        <v>164</v>
      </c>
      <c r="O37" s="12">
        <v>0.98299999999999998</v>
      </c>
      <c r="P37" s="12">
        <v>0.17</v>
      </c>
      <c r="Q37" s="12">
        <v>30.85</v>
      </c>
      <c r="R37" s="12" t="s">
        <v>54</v>
      </c>
      <c r="S37" s="12" t="s">
        <v>54</v>
      </c>
      <c r="T37" s="12" t="s">
        <v>55</v>
      </c>
      <c r="U37" s="12" t="s">
        <v>165</v>
      </c>
      <c r="V37" s="33">
        <v>1.423</v>
      </c>
      <c r="W37" s="12">
        <v>6.9000000000000006E-2</v>
      </c>
      <c r="X37" s="12">
        <v>42041</v>
      </c>
      <c r="Y37" s="12">
        <v>95.6</v>
      </c>
      <c r="Z37" s="12">
        <v>19.600000000000001</v>
      </c>
      <c r="AA37" s="12">
        <v>1.4490000000000001</v>
      </c>
      <c r="AB37" s="12">
        <v>6.6000000000000003E-2</v>
      </c>
      <c r="AC37" s="12">
        <v>91.5</v>
      </c>
    </row>
    <row r="38" spans="1:29">
      <c r="A38" s="13" t="s">
        <v>38</v>
      </c>
      <c r="B38" s="14" t="s">
        <v>39</v>
      </c>
      <c r="C38" s="1" t="s">
        <v>166</v>
      </c>
      <c r="D38" s="1" t="s">
        <v>166</v>
      </c>
      <c r="E38" s="15" t="s">
        <v>156</v>
      </c>
      <c r="F38" s="1" t="s">
        <v>166</v>
      </c>
      <c r="G38" s="4" t="s">
        <v>146</v>
      </c>
      <c r="I38" s="4" t="s">
        <v>157</v>
      </c>
      <c r="L38" s="6" t="s">
        <v>158</v>
      </c>
      <c r="M38" s="29" t="s">
        <v>167</v>
      </c>
      <c r="N38" s="12" t="s">
        <v>164</v>
      </c>
      <c r="O38" s="12">
        <v>0.95799999999999996</v>
      </c>
      <c r="P38" s="12">
        <v>0.115</v>
      </c>
      <c r="Q38" s="12">
        <v>19.559999999999999</v>
      </c>
      <c r="R38" s="12" t="s">
        <v>54</v>
      </c>
      <c r="S38" s="12" t="s">
        <v>54</v>
      </c>
      <c r="T38" s="12" t="s">
        <v>55</v>
      </c>
      <c r="U38" s="12" t="s">
        <v>168</v>
      </c>
      <c r="V38" s="33">
        <v>1.365</v>
      </c>
      <c r="W38" s="12">
        <v>5.3999999999999999E-2</v>
      </c>
      <c r="X38" s="12">
        <v>33679</v>
      </c>
      <c r="Y38" s="12">
        <v>67.900000000000006</v>
      </c>
      <c r="Z38" s="12">
        <v>18.899999999999999</v>
      </c>
      <c r="AA38" s="12">
        <v>1.3640000000000001</v>
      </c>
      <c r="AB38" s="12">
        <v>5.3999999999999999E-2</v>
      </c>
      <c r="AC38" s="12">
        <v>67.7</v>
      </c>
    </row>
    <row r="39" spans="1:29">
      <c r="A39" s="13" t="s">
        <v>38</v>
      </c>
      <c r="B39" s="14" t="s">
        <v>39</v>
      </c>
      <c r="C39" s="1" t="s">
        <v>169</v>
      </c>
      <c r="D39" s="1" t="s">
        <v>169</v>
      </c>
      <c r="E39" s="15" t="s">
        <v>156</v>
      </c>
      <c r="F39" s="1" t="s">
        <v>169</v>
      </c>
      <c r="G39" s="4" t="s">
        <v>146</v>
      </c>
      <c r="I39" s="4" t="s">
        <v>157</v>
      </c>
      <c r="L39" s="6" t="s">
        <v>158</v>
      </c>
      <c r="M39" s="29" t="s">
        <v>170</v>
      </c>
      <c r="N39" s="12" t="s">
        <v>171</v>
      </c>
      <c r="O39" s="12">
        <v>0.89039999999999997</v>
      </c>
      <c r="P39" s="12">
        <v>0.12</v>
      </c>
      <c r="Q39" s="12">
        <v>30.17</v>
      </c>
      <c r="R39" s="12" t="s">
        <v>54</v>
      </c>
      <c r="S39" s="12" t="s">
        <v>54</v>
      </c>
      <c r="T39" s="12" t="s">
        <v>55</v>
      </c>
      <c r="U39" s="12" t="s">
        <v>172</v>
      </c>
      <c r="V39" s="33">
        <v>1.546</v>
      </c>
      <c r="W39" s="12">
        <v>4.2999999999999997E-2</v>
      </c>
      <c r="X39" s="12">
        <v>23055</v>
      </c>
      <c r="Y39" s="12">
        <v>67.3</v>
      </c>
      <c r="Z39" s="12">
        <v>18.600000000000001</v>
      </c>
      <c r="AA39" s="12">
        <v>1.546</v>
      </c>
      <c r="AB39" s="12">
        <v>4.2999999999999997E-2</v>
      </c>
      <c r="AC39" s="12">
        <v>67.3</v>
      </c>
    </row>
    <row r="40" spans="1:29">
      <c r="A40" s="13" t="s">
        <v>38</v>
      </c>
      <c r="B40" s="14" t="s">
        <v>39</v>
      </c>
      <c r="C40" s="1" t="s">
        <v>173</v>
      </c>
      <c r="D40" s="1" t="s">
        <v>173</v>
      </c>
      <c r="E40" s="15" t="s">
        <v>156</v>
      </c>
      <c r="F40" s="1" t="s">
        <v>173</v>
      </c>
      <c r="G40" s="4" t="s">
        <v>146</v>
      </c>
      <c r="I40" s="4" t="s">
        <v>157</v>
      </c>
      <c r="L40" s="6" t="s">
        <v>158</v>
      </c>
      <c r="M40" s="29" t="s">
        <v>174</v>
      </c>
      <c r="N40" s="12" t="s">
        <v>175</v>
      </c>
      <c r="O40" s="12">
        <v>0.95199999999999996</v>
      </c>
      <c r="P40" s="12">
        <v>0.2</v>
      </c>
      <c r="Q40" s="12">
        <v>29.46</v>
      </c>
      <c r="R40" s="12" t="s">
        <v>54</v>
      </c>
      <c r="S40" s="12" t="s">
        <v>54</v>
      </c>
      <c r="T40" s="12" t="s">
        <v>55</v>
      </c>
      <c r="U40" s="12" t="s">
        <v>176</v>
      </c>
      <c r="V40" s="33">
        <v>1.5489999999999999</v>
      </c>
      <c r="W40" s="12">
        <v>4.9000000000000002E-2</v>
      </c>
      <c r="X40" s="12">
        <v>29314</v>
      </c>
      <c r="Y40" s="12">
        <v>86.2</v>
      </c>
      <c r="Z40" s="12">
        <v>15.5</v>
      </c>
      <c r="AA40" s="12">
        <v>1.5469999999999999</v>
      </c>
      <c r="AB40" s="12">
        <v>4.9000000000000002E-2</v>
      </c>
      <c r="AC40" s="12">
        <v>86</v>
      </c>
    </row>
    <row r="41" spans="1:29">
      <c r="A41" s="13" t="s">
        <v>38</v>
      </c>
      <c r="B41" s="14" t="s">
        <v>39</v>
      </c>
      <c r="C41" s="1" t="s">
        <v>177</v>
      </c>
      <c r="D41" s="1" t="s">
        <v>177</v>
      </c>
      <c r="E41" s="15" t="s">
        <v>156</v>
      </c>
      <c r="F41" s="1" t="s">
        <v>177</v>
      </c>
      <c r="G41" s="4" t="s">
        <v>146</v>
      </c>
      <c r="I41" s="4" t="s">
        <v>157</v>
      </c>
      <c r="L41" s="6" t="s">
        <v>158</v>
      </c>
      <c r="M41" s="12" t="s">
        <v>178</v>
      </c>
    </row>
    <row r="42" spans="1:29">
      <c r="A42" s="13" t="s">
        <v>38</v>
      </c>
      <c r="B42" s="14" t="s">
        <v>39</v>
      </c>
      <c r="C42" s="1" t="s">
        <v>179</v>
      </c>
      <c r="D42" s="1" t="s">
        <v>179</v>
      </c>
      <c r="E42" s="15" t="s">
        <v>156</v>
      </c>
      <c r="F42" s="1" t="s">
        <v>179</v>
      </c>
      <c r="G42" s="4" t="s">
        <v>180</v>
      </c>
      <c r="I42" s="4" t="s">
        <v>181</v>
      </c>
      <c r="L42" s="6" t="s">
        <v>158</v>
      </c>
      <c r="M42" s="12" t="s">
        <v>182</v>
      </c>
    </row>
    <row r="43" spans="1:29">
      <c r="A43" s="13" t="s">
        <v>38</v>
      </c>
      <c r="B43" s="14" t="s">
        <v>39</v>
      </c>
      <c r="C43" s="1" t="s">
        <v>183</v>
      </c>
      <c r="D43" s="1" t="s">
        <v>183</v>
      </c>
      <c r="E43" s="15" t="s">
        <v>184</v>
      </c>
      <c r="F43" s="1" t="s">
        <v>183</v>
      </c>
      <c r="G43" s="4" t="s">
        <v>185</v>
      </c>
      <c r="I43" s="4" t="s">
        <v>186</v>
      </c>
      <c r="L43" s="6" t="s">
        <v>158</v>
      </c>
      <c r="M43" s="12" t="s">
        <v>187</v>
      </c>
    </row>
    <row r="44" spans="1:29">
      <c r="A44" s="13" t="s">
        <v>38</v>
      </c>
      <c r="B44" s="14" t="s">
        <v>39</v>
      </c>
      <c r="C44" s="2" t="s">
        <v>188</v>
      </c>
      <c r="D44" s="2" t="s">
        <v>188</v>
      </c>
      <c r="E44" s="18" t="s">
        <v>153</v>
      </c>
      <c r="F44" s="2" t="s">
        <v>188</v>
      </c>
      <c r="G44" s="11"/>
      <c r="H44" s="17"/>
      <c r="I44" s="11"/>
      <c r="J44" s="17"/>
      <c r="K44" s="17"/>
      <c r="L44" s="11"/>
    </row>
    <row r="45" spans="1:29">
      <c r="A45" s="13" t="s">
        <v>38</v>
      </c>
      <c r="B45" s="14" t="s">
        <v>39</v>
      </c>
      <c r="C45" s="1" t="s">
        <v>189</v>
      </c>
      <c r="D45" s="1" t="s">
        <v>189</v>
      </c>
      <c r="E45" s="15" t="s">
        <v>190</v>
      </c>
      <c r="F45" s="1" t="s">
        <v>189</v>
      </c>
      <c r="G45" s="4" t="s">
        <v>191</v>
      </c>
      <c r="I45" s="4" t="s">
        <v>192</v>
      </c>
      <c r="L45" s="6" t="s">
        <v>193</v>
      </c>
      <c r="M45" s="12" t="s">
        <v>194</v>
      </c>
    </row>
    <row r="46" spans="1:29">
      <c r="A46" s="13" t="s">
        <v>38</v>
      </c>
      <c r="B46" s="14" t="s">
        <v>39</v>
      </c>
      <c r="C46" s="1" t="s">
        <v>195</v>
      </c>
      <c r="D46" s="1" t="s">
        <v>195</v>
      </c>
      <c r="E46" s="15" t="s">
        <v>190</v>
      </c>
      <c r="F46" s="1" t="s">
        <v>195</v>
      </c>
      <c r="G46" s="4" t="s">
        <v>191</v>
      </c>
      <c r="I46" s="4" t="s">
        <v>196</v>
      </c>
      <c r="L46" s="6" t="s">
        <v>193</v>
      </c>
      <c r="M46" s="28" t="s">
        <v>194</v>
      </c>
    </row>
    <row r="47" spans="1:29">
      <c r="A47" s="13" t="s">
        <v>38</v>
      </c>
      <c r="B47" s="14" t="s">
        <v>39</v>
      </c>
      <c r="C47" s="1" t="s">
        <v>197</v>
      </c>
      <c r="D47" s="1" t="s">
        <v>197</v>
      </c>
      <c r="E47" s="15" t="s">
        <v>190</v>
      </c>
      <c r="F47" s="1" t="s">
        <v>197</v>
      </c>
      <c r="G47" s="4" t="s">
        <v>191</v>
      </c>
      <c r="I47" s="4" t="s">
        <v>198</v>
      </c>
      <c r="L47" s="6" t="s">
        <v>199</v>
      </c>
      <c r="M47" s="28" t="s">
        <v>200</v>
      </c>
    </row>
    <row r="48" spans="1:29">
      <c r="A48" s="13" t="s">
        <v>38</v>
      </c>
      <c r="B48" s="14" t="s">
        <v>39</v>
      </c>
      <c r="C48" s="1" t="s">
        <v>201</v>
      </c>
      <c r="D48" s="1" t="s">
        <v>201</v>
      </c>
      <c r="E48" s="15" t="s">
        <v>190</v>
      </c>
      <c r="F48" s="1" t="s">
        <v>201</v>
      </c>
      <c r="G48" s="4" t="s">
        <v>191</v>
      </c>
      <c r="I48" s="4" t="s">
        <v>202</v>
      </c>
      <c r="L48" s="6" t="s">
        <v>193</v>
      </c>
      <c r="M48" s="28" t="s">
        <v>194</v>
      </c>
    </row>
    <row r="49" spans="1:14">
      <c r="A49" s="13" t="s">
        <v>38</v>
      </c>
      <c r="B49" s="14" t="s">
        <v>39</v>
      </c>
      <c r="C49" s="1" t="s">
        <v>203</v>
      </c>
      <c r="D49" s="1" t="s">
        <v>203</v>
      </c>
      <c r="E49" s="15" t="s">
        <v>204</v>
      </c>
      <c r="F49" s="1" t="s">
        <v>203</v>
      </c>
      <c r="G49" s="4" t="s">
        <v>205</v>
      </c>
      <c r="I49" s="4" t="s">
        <v>206</v>
      </c>
      <c r="L49" s="6" t="s">
        <v>193</v>
      </c>
      <c r="M49" s="12" t="s">
        <v>207</v>
      </c>
    </row>
    <row r="50" spans="1:14">
      <c r="A50" s="13" t="s">
        <v>38</v>
      </c>
      <c r="B50" s="14" t="s">
        <v>39</v>
      </c>
      <c r="C50" s="1" t="s">
        <v>208</v>
      </c>
      <c r="D50" s="1" t="s">
        <v>208</v>
      </c>
      <c r="E50" s="15" t="s">
        <v>204</v>
      </c>
      <c r="F50" s="1" t="s">
        <v>208</v>
      </c>
      <c r="G50" s="4" t="s">
        <v>209</v>
      </c>
      <c r="I50" s="4" t="s">
        <v>206</v>
      </c>
      <c r="L50" s="6" t="s">
        <v>193</v>
      </c>
      <c r="M50" s="12" t="s">
        <v>210</v>
      </c>
    </row>
    <row r="51" spans="1:14">
      <c r="A51" s="13" t="s">
        <v>38</v>
      </c>
      <c r="B51" s="14" t="s">
        <v>39</v>
      </c>
      <c r="C51" s="3" t="s">
        <v>211</v>
      </c>
      <c r="D51" s="3" t="s">
        <v>211</v>
      </c>
      <c r="E51" s="15" t="s">
        <v>204</v>
      </c>
      <c r="F51" s="3" t="s">
        <v>211</v>
      </c>
      <c r="G51" s="4" t="s">
        <v>212</v>
      </c>
      <c r="I51" s="4" t="s">
        <v>213</v>
      </c>
      <c r="L51" s="6" t="s">
        <v>193</v>
      </c>
      <c r="M51" s="12" t="s">
        <v>214</v>
      </c>
    </row>
    <row r="52" spans="1:14">
      <c r="A52" s="13" t="s">
        <v>38</v>
      </c>
      <c r="B52" s="14" t="s">
        <v>39</v>
      </c>
      <c r="C52" s="3" t="s">
        <v>215</v>
      </c>
      <c r="D52" s="3" t="s">
        <v>215</v>
      </c>
      <c r="E52" s="15" t="s">
        <v>204</v>
      </c>
      <c r="F52" s="3" t="s">
        <v>215</v>
      </c>
      <c r="G52" s="4" t="s">
        <v>216</v>
      </c>
      <c r="I52" s="4" t="s">
        <v>217</v>
      </c>
      <c r="L52" s="6" t="s">
        <v>218</v>
      </c>
      <c r="M52" s="12" t="s">
        <v>219</v>
      </c>
    </row>
    <row r="53" spans="1:14">
      <c r="A53" s="13" t="s">
        <v>38</v>
      </c>
      <c r="B53" s="14" t="s">
        <v>39</v>
      </c>
      <c r="C53" s="3" t="s">
        <v>220</v>
      </c>
      <c r="D53" s="3" t="s">
        <v>220</v>
      </c>
      <c r="E53" s="19" t="s">
        <v>221</v>
      </c>
      <c r="F53" s="3" t="s">
        <v>220</v>
      </c>
      <c r="G53" s="6" t="s">
        <v>222</v>
      </c>
      <c r="I53" s="6" t="s">
        <v>223</v>
      </c>
      <c r="L53" s="6" t="s">
        <v>193</v>
      </c>
      <c r="M53" s="12" t="s">
        <v>224</v>
      </c>
    </row>
    <row r="54" spans="1:14">
      <c r="A54" s="13" t="s">
        <v>38</v>
      </c>
      <c r="B54" s="14" t="s">
        <v>39</v>
      </c>
      <c r="C54" s="1" t="s">
        <v>225</v>
      </c>
      <c r="D54" s="1" t="s">
        <v>225</v>
      </c>
      <c r="E54" s="20" t="s">
        <v>226</v>
      </c>
      <c r="F54" s="1" t="s">
        <v>225</v>
      </c>
      <c r="G54" s="7" t="s">
        <v>227</v>
      </c>
      <c r="I54" s="7" t="s">
        <v>228</v>
      </c>
      <c r="L54" s="9" t="s">
        <v>229</v>
      </c>
      <c r="M54" s="12" t="s">
        <v>230</v>
      </c>
      <c r="N54" s="30" t="s">
        <v>231</v>
      </c>
    </row>
    <row r="55" spans="1:14">
      <c r="A55" s="13" t="s">
        <v>38</v>
      </c>
      <c r="B55" s="14" t="s">
        <v>39</v>
      </c>
      <c r="C55" s="1" t="s">
        <v>232</v>
      </c>
      <c r="D55" s="1" t="s">
        <v>232</v>
      </c>
      <c r="E55" s="20" t="s">
        <v>226</v>
      </c>
      <c r="F55" s="1" t="s">
        <v>232</v>
      </c>
      <c r="G55" s="7" t="s">
        <v>227</v>
      </c>
      <c r="I55" s="7" t="s">
        <v>228</v>
      </c>
      <c r="L55" s="9" t="s">
        <v>229</v>
      </c>
      <c r="M55" s="12" t="s">
        <v>233</v>
      </c>
    </row>
    <row r="56" spans="1:14">
      <c r="A56" s="13" t="s">
        <v>38</v>
      </c>
      <c r="B56" s="14" t="s">
        <v>39</v>
      </c>
      <c r="C56" s="1" t="s">
        <v>234</v>
      </c>
      <c r="D56" s="1" t="s">
        <v>234</v>
      </c>
      <c r="E56" s="20" t="s">
        <v>226</v>
      </c>
      <c r="F56" s="1" t="s">
        <v>234</v>
      </c>
      <c r="G56" s="7" t="s">
        <v>227</v>
      </c>
      <c r="I56" s="7" t="s">
        <v>228</v>
      </c>
      <c r="L56" s="9" t="s">
        <v>229</v>
      </c>
      <c r="M56" s="33" t="s">
        <v>235</v>
      </c>
      <c r="N56" s="35" t="s">
        <v>236</v>
      </c>
    </row>
    <row r="57" spans="1:14">
      <c r="A57" s="13" t="s">
        <v>38</v>
      </c>
      <c r="B57" s="14" t="s">
        <v>39</v>
      </c>
      <c r="C57" s="1" t="s">
        <v>237</v>
      </c>
      <c r="D57" s="1" t="s">
        <v>237</v>
      </c>
      <c r="E57" s="20" t="s">
        <v>238</v>
      </c>
      <c r="F57" s="1" t="s">
        <v>237</v>
      </c>
      <c r="G57" s="7" t="s">
        <v>227</v>
      </c>
      <c r="I57" s="7" t="s">
        <v>239</v>
      </c>
      <c r="L57" s="9" t="s">
        <v>229</v>
      </c>
      <c r="M57" s="12" t="s">
        <v>240</v>
      </c>
      <c r="N57" s="35" t="s">
        <v>241</v>
      </c>
    </row>
    <row r="58" spans="1:14">
      <c r="A58" s="13" t="s">
        <v>38</v>
      </c>
      <c r="B58" s="14" t="s">
        <v>39</v>
      </c>
      <c r="C58" s="1" t="s">
        <v>242</v>
      </c>
      <c r="D58" s="1" t="s">
        <v>242</v>
      </c>
      <c r="E58" s="20" t="s">
        <v>238</v>
      </c>
      <c r="F58" s="1" t="s">
        <v>242</v>
      </c>
      <c r="G58" s="7" t="s">
        <v>227</v>
      </c>
      <c r="I58" s="7" t="s">
        <v>239</v>
      </c>
      <c r="L58" s="9" t="s">
        <v>229</v>
      </c>
      <c r="M58" s="12" t="s">
        <v>243</v>
      </c>
      <c r="N58" s="35" t="s">
        <v>241</v>
      </c>
    </row>
    <row r="59" spans="1:14">
      <c r="A59" s="13" t="s">
        <v>38</v>
      </c>
      <c r="B59" s="14" t="s">
        <v>39</v>
      </c>
      <c r="C59" s="1" t="s">
        <v>244</v>
      </c>
      <c r="D59" s="1" t="s">
        <v>244</v>
      </c>
      <c r="E59" s="20" t="s">
        <v>238</v>
      </c>
      <c r="F59" s="1" t="s">
        <v>244</v>
      </c>
      <c r="G59" s="7" t="s">
        <v>245</v>
      </c>
      <c r="I59" s="7" t="s">
        <v>246</v>
      </c>
      <c r="L59" s="9" t="s">
        <v>229</v>
      </c>
      <c r="M59" s="12" t="s">
        <v>247</v>
      </c>
      <c r="N59" s="35" t="s">
        <v>248</v>
      </c>
    </row>
    <row r="60" spans="1:14">
      <c r="A60" s="13" t="s">
        <v>38</v>
      </c>
      <c r="B60" s="14" t="s">
        <v>39</v>
      </c>
      <c r="C60" s="1" t="s">
        <v>249</v>
      </c>
      <c r="D60" s="1" t="s">
        <v>249</v>
      </c>
      <c r="E60" s="20" t="s">
        <v>238</v>
      </c>
      <c r="F60" s="1" t="s">
        <v>249</v>
      </c>
      <c r="G60" s="7" t="s">
        <v>245</v>
      </c>
      <c r="I60" s="7" t="s">
        <v>246</v>
      </c>
      <c r="L60" s="9" t="s">
        <v>229</v>
      </c>
      <c r="M60" s="12" t="s">
        <v>243</v>
      </c>
      <c r="N60" s="35" t="s">
        <v>241</v>
      </c>
    </row>
    <row r="61" spans="1:14">
      <c r="A61" s="13" t="s">
        <v>38</v>
      </c>
      <c r="B61" s="14" t="s">
        <v>39</v>
      </c>
      <c r="C61" s="1" t="s">
        <v>250</v>
      </c>
      <c r="D61" s="1" t="s">
        <v>250</v>
      </c>
      <c r="E61" s="20" t="s">
        <v>238</v>
      </c>
      <c r="F61" s="1" t="s">
        <v>250</v>
      </c>
      <c r="G61" s="7" t="s">
        <v>245</v>
      </c>
      <c r="I61" s="7" t="s">
        <v>246</v>
      </c>
      <c r="L61" s="9" t="s">
        <v>229</v>
      </c>
      <c r="M61" s="12" t="s">
        <v>243</v>
      </c>
      <c r="N61" s="35" t="s">
        <v>251</v>
      </c>
    </row>
    <row r="62" spans="1:14">
      <c r="A62" s="13" t="s">
        <v>38</v>
      </c>
      <c r="B62" s="14" t="s">
        <v>39</v>
      </c>
      <c r="C62" s="1" t="s">
        <v>252</v>
      </c>
      <c r="D62" s="1" t="s">
        <v>252</v>
      </c>
      <c r="E62" s="20" t="s">
        <v>238</v>
      </c>
      <c r="F62" s="1" t="s">
        <v>252</v>
      </c>
      <c r="G62" s="7" t="s">
        <v>245</v>
      </c>
      <c r="I62" s="7" t="s">
        <v>246</v>
      </c>
      <c r="L62" s="9" t="s">
        <v>229</v>
      </c>
      <c r="M62" s="12" t="s">
        <v>243</v>
      </c>
      <c r="N62" s="35" t="s">
        <v>253</v>
      </c>
    </row>
    <row r="63" spans="1:14">
      <c r="A63" s="13" t="s">
        <v>38</v>
      </c>
      <c r="B63" s="14" t="s">
        <v>39</v>
      </c>
      <c r="C63" s="1" t="s">
        <v>254</v>
      </c>
      <c r="D63" s="1" t="s">
        <v>254</v>
      </c>
      <c r="E63" s="20" t="s">
        <v>238</v>
      </c>
      <c r="F63" s="1" t="s">
        <v>254</v>
      </c>
      <c r="G63" s="7" t="s">
        <v>245</v>
      </c>
      <c r="I63" s="7" t="s">
        <v>246</v>
      </c>
      <c r="L63" s="9" t="s">
        <v>229</v>
      </c>
      <c r="M63" s="12" t="s">
        <v>255</v>
      </c>
      <c r="N63" s="35" t="s">
        <v>253</v>
      </c>
    </row>
    <row r="64" spans="1:14">
      <c r="A64" s="13" t="s">
        <v>38</v>
      </c>
      <c r="B64" s="14" t="s">
        <v>39</v>
      </c>
      <c r="C64" s="1" t="s">
        <v>256</v>
      </c>
      <c r="D64" s="1" t="s">
        <v>256</v>
      </c>
      <c r="E64" s="20" t="s">
        <v>238</v>
      </c>
      <c r="F64" s="1" t="s">
        <v>256</v>
      </c>
      <c r="G64" s="7" t="s">
        <v>245</v>
      </c>
      <c r="I64" s="7" t="s">
        <v>257</v>
      </c>
      <c r="L64" s="9" t="s">
        <v>229</v>
      </c>
      <c r="M64" s="12" t="s">
        <v>243</v>
      </c>
      <c r="N64" s="35" t="s">
        <v>258</v>
      </c>
    </row>
    <row r="65" spans="1:37">
      <c r="A65" s="13" t="s">
        <v>38</v>
      </c>
      <c r="B65" s="14" t="s">
        <v>39</v>
      </c>
      <c r="C65" s="1" t="s">
        <v>259</v>
      </c>
      <c r="D65" s="1" t="s">
        <v>259</v>
      </c>
      <c r="E65" s="20" t="s">
        <v>238</v>
      </c>
      <c r="F65" s="1" t="s">
        <v>259</v>
      </c>
      <c r="G65" s="7" t="s">
        <v>245</v>
      </c>
      <c r="I65" s="7" t="s">
        <v>260</v>
      </c>
      <c r="L65" s="9" t="s">
        <v>229</v>
      </c>
      <c r="M65" s="12" t="s">
        <v>243</v>
      </c>
      <c r="N65" s="35" t="s">
        <v>261</v>
      </c>
    </row>
    <row r="66" spans="1:37">
      <c r="A66" s="13" t="s">
        <v>38</v>
      </c>
      <c r="B66" s="14" t="s">
        <v>39</v>
      </c>
      <c r="C66" s="1" t="s">
        <v>262</v>
      </c>
      <c r="D66" s="1" t="s">
        <v>262</v>
      </c>
      <c r="E66" s="20" t="s">
        <v>238</v>
      </c>
      <c r="F66" s="1" t="s">
        <v>262</v>
      </c>
      <c r="G66" s="7" t="s">
        <v>245</v>
      </c>
      <c r="I66" s="7" t="s">
        <v>257</v>
      </c>
      <c r="L66" s="9" t="s">
        <v>229</v>
      </c>
      <c r="M66" s="12" t="s">
        <v>243</v>
      </c>
      <c r="N66" s="35" t="s">
        <v>263</v>
      </c>
    </row>
    <row r="67" spans="1:37">
      <c r="A67" s="13" t="s">
        <v>38</v>
      </c>
      <c r="B67" s="14" t="s">
        <v>39</v>
      </c>
      <c r="C67" s="1" t="s">
        <v>264</v>
      </c>
      <c r="D67" s="1" t="s">
        <v>264</v>
      </c>
      <c r="E67" s="20" t="s">
        <v>265</v>
      </c>
      <c r="F67" s="1" t="s">
        <v>264</v>
      </c>
      <c r="G67" s="7" t="s">
        <v>266</v>
      </c>
      <c r="I67" s="7" t="s">
        <v>267</v>
      </c>
      <c r="L67" s="9" t="s">
        <v>268</v>
      </c>
      <c r="M67" s="31" t="s">
        <v>269</v>
      </c>
    </row>
    <row r="68" spans="1:37">
      <c r="A68" s="13" t="s">
        <v>38</v>
      </c>
      <c r="B68" s="14" t="s">
        <v>39</v>
      </c>
      <c r="C68" s="1" t="s">
        <v>270</v>
      </c>
      <c r="D68" s="1" t="s">
        <v>270</v>
      </c>
      <c r="E68" s="20" t="s">
        <v>271</v>
      </c>
      <c r="F68" s="1" t="s">
        <v>270</v>
      </c>
      <c r="G68" s="7" t="s">
        <v>266</v>
      </c>
      <c r="I68" s="7" t="s">
        <v>267</v>
      </c>
      <c r="L68" s="9" t="s">
        <v>268</v>
      </c>
      <c r="M68" s="29" t="s">
        <v>272</v>
      </c>
      <c r="N68" s="12" t="s">
        <v>273</v>
      </c>
      <c r="O68" s="32" t="s">
        <v>274</v>
      </c>
      <c r="P68" s="12" t="s">
        <v>275</v>
      </c>
    </row>
    <row r="69" spans="1:37">
      <c r="A69" s="13"/>
      <c r="B69" s="14"/>
      <c r="C69" s="1"/>
      <c r="D69" s="1"/>
      <c r="E69" s="20"/>
      <c r="F69" s="1"/>
      <c r="G69" s="7"/>
      <c r="I69" s="7"/>
      <c r="L69" s="9"/>
      <c r="M69" s="33" t="s">
        <v>276</v>
      </c>
      <c r="N69" s="12" t="s">
        <v>273</v>
      </c>
      <c r="O69" s="32" t="s">
        <v>274</v>
      </c>
    </row>
    <row r="70" spans="1:37" ht="13.5" customHeight="1">
      <c r="A70" s="13"/>
      <c r="B70" s="14"/>
      <c r="C70" s="1"/>
      <c r="D70" s="1"/>
      <c r="E70" s="20"/>
      <c r="F70" s="1"/>
      <c r="G70" s="7"/>
      <c r="I70" s="7"/>
      <c r="L70" s="9"/>
      <c r="M70" s="33" t="s">
        <v>277</v>
      </c>
      <c r="O70" s="32" t="s">
        <v>274</v>
      </c>
    </row>
    <row r="71" spans="1:37">
      <c r="A71" s="13" t="s">
        <v>38</v>
      </c>
      <c r="B71" s="14" t="s">
        <v>39</v>
      </c>
      <c r="C71" s="1" t="s">
        <v>278</v>
      </c>
      <c r="D71" s="1" t="s">
        <v>278</v>
      </c>
      <c r="E71" s="20" t="s">
        <v>271</v>
      </c>
      <c r="F71" s="1" t="s">
        <v>278</v>
      </c>
      <c r="G71" s="7" t="s">
        <v>266</v>
      </c>
      <c r="I71" s="7" t="s">
        <v>267</v>
      </c>
      <c r="L71" s="9" t="s">
        <v>268</v>
      </c>
      <c r="M71" s="29" t="s">
        <v>272</v>
      </c>
      <c r="N71" s="12" t="s">
        <v>273</v>
      </c>
      <c r="O71" s="12">
        <f>(29.8+9.8+16.3+3.8)/(100-4.9)</f>
        <v>0.62776025236593069</v>
      </c>
      <c r="P71" s="12">
        <v>0.55000000000000004</v>
      </c>
      <c r="Q71" s="12">
        <v>15.09</v>
      </c>
      <c r="R71" s="12" t="s">
        <v>279</v>
      </c>
      <c r="S71" s="12" t="s">
        <v>280</v>
      </c>
      <c r="T71" s="12" t="s">
        <v>281</v>
      </c>
      <c r="U71" s="12" t="s">
        <v>282</v>
      </c>
      <c r="V71" s="33">
        <v>1.276</v>
      </c>
      <c r="W71" s="12">
        <v>0.246</v>
      </c>
      <c r="X71" s="12">
        <v>36376</v>
      </c>
      <c r="Y71" s="12">
        <v>92.9</v>
      </c>
      <c r="Z71" s="12">
        <v>9.8000000000000007</v>
      </c>
      <c r="AA71" s="12">
        <v>1.238</v>
      </c>
      <c r="AB71" s="12">
        <v>0.20399999999999999</v>
      </c>
      <c r="AC71" s="12">
        <v>69.3</v>
      </c>
      <c r="AD71" s="12" t="s">
        <v>283</v>
      </c>
      <c r="AE71" s="12">
        <v>51.344000000000001</v>
      </c>
      <c r="AG71" s="34" t="s">
        <v>284</v>
      </c>
    </row>
    <row r="72" spans="1:37" s="50" customFormat="1">
      <c r="A72" s="54"/>
      <c r="B72" s="55"/>
      <c r="C72" s="56"/>
      <c r="D72" s="56"/>
      <c r="E72" s="57"/>
      <c r="F72" s="56"/>
      <c r="G72" s="58"/>
      <c r="I72" s="58"/>
      <c r="L72" s="59"/>
      <c r="M72" s="50" t="s">
        <v>285</v>
      </c>
      <c r="N72" s="50" t="s">
        <v>273</v>
      </c>
      <c r="O72" s="50">
        <f>(23.2+10.6+14.1+5.2+5.1+3.7+2.6)/(100-6.2)</f>
        <v>0.687633262260128</v>
      </c>
      <c r="P72" s="50">
        <v>0.5</v>
      </c>
      <c r="Q72" s="50">
        <v>17.05</v>
      </c>
      <c r="R72" s="50" t="s">
        <v>280</v>
      </c>
      <c r="S72" s="50" t="s">
        <v>286</v>
      </c>
      <c r="T72" s="50" t="s">
        <v>281</v>
      </c>
      <c r="U72" s="50" t="s">
        <v>287</v>
      </c>
      <c r="V72" s="33">
        <v>1.278</v>
      </c>
      <c r="W72" s="50">
        <v>0.17799999999999999</v>
      </c>
      <c r="X72" s="50">
        <v>38123</v>
      </c>
      <c r="Y72" s="50">
        <v>97.8</v>
      </c>
      <c r="Z72" s="50">
        <v>6.6</v>
      </c>
      <c r="AA72" s="50">
        <v>1.2370000000000001</v>
      </c>
      <c r="AB72" s="50">
        <v>0.157</v>
      </c>
      <c r="AC72" s="50">
        <v>74</v>
      </c>
      <c r="AD72" s="50" t="s">
        <v>283</v>
      </c>
      <c r="AE72" s="50">
        <v>51.325000000000003</v>
      </c>
      <c r="AF72" s="50">
        <v>6.7119999999999997</v>
      </c>
      <c r="AG72" s="60" t="s">
        <v>288</v>
      </c>
      <c r="AH72" s="50" t="s">
        <v>289</v>
      </c>
      <c r="AI72" s="50">
        <v>425.9</v>
      </c>
      <c r="AJ72" s="50">
        <v>18.899999999999999</v>
      </c>
      <c r="AK72" s="50" t="s">
        <v>290</v>
      </c>
    </row>
    <row r="73" spans="1:37" ht="35.25">
      <c r="A73" s="13" t="s">
        <v>38</v>
      </c>
      <c r="B73" s="14" t="s">
        <v>39</v>
      </c>
      <c r="C73" s="1" t="s">
        <v>291</v>
      </c>
      <c r="D73" s="1" t="s">
        <v>291</v>
      </c>
      <c r="E73" s="20" t="s">
        <v>271</v>
      </c>
      <c r="F73" s="1" t="s">
        <v>291</v>
      </c>
      <c r="G73" s="7" t="s">
        <v>266</v>
      </c>
      <c r="I73" s="7" t="s">
        <v>267</v>
      </c>
      <c r="L73" s="9" t="s">
        <v>268</v>
      </c>
      <c r="M73" s="12" t="s">
        <v>292</v>
      </c>
    </row>
    <row r="74" spans="1:37">
      <c r="A74" s="13" t="s">
        <v>38</v>
      </c>
      <c r="B74" s="14" t="s">
        <v>39</v>
      </c>
      <c r="C74" s="1" t="s">
        <v>293</v>
      </c>
      <c r="D74" s="1" t="s">
        <v>293</v>
      </c>
      <c r="E74" s="20" t="s">
        <v>271</v>
      </c>
      <c r="F74" s="1" t="s">
        <v>293</v>
      </c>
      <c r="G74" s="7" t="s">
        <v>266</v>
      </c>
      <c r="I74" s="7" t="s">
        <v>267</v>
      </c>
      <c r="L74" s="9" t="s">
        <v>268</v>
      </c>
      <c r="M74" s="12" t="s">
        <v>292</v>
      </c>
    </row>
    <row r="75" spans="1:37">
      <c r="A75" s="13" t="s">
        <v>38</v>
      </c>
      <c r="B75" s="14" t="s">
        <v>39</v>
      </c>
      <c r="C75" s="1" t="s">
        <v>294</v>
      </c>
      <c r="D75" s="1" t="s">
        <v>294</v>
      </c>
      <c r="E75" s="20" t="s">
        <v>271</v>
      </c>
      <c r="F75" s="1" t="s">
        <v>294</v>
      </c>
      <c r="G75" s="7" t="s">
        <v>266</v>
      </c>
      <c r="I75" s="7" t="s">
        <v>267</v>
      </c>
      <c r="L75" s="9" t="s">
        <v>268</v>
      </c>
      <c r="M75" s="29" t="s">
        <v>295</v>
      </c>
      <c r="N75" s="12" t="s">
        <v>273</v>
      </c>
      <c r="O75" s="12">
        <f>(56.9+14.5+5.5)/(100-11)</f>
        <v>0.86404494382022479</v>
      </c>
      <c r="P75" s="12">
        <v>0.8</v>
      </c>
      <c r="Q75" s="12">
        <v>12.57</v>
      </c>
      <c r="R75" s="12" t="s">
        <v>54</v>
      </c>
      <c r="S75" s="12" t="s">
        <v>54</v>
      </c>
      <c r="T75" s="12" t="s">
        <v>281</v>
      </c>
      <c r="U75" s="12" t="s">
        <v>296</v>
      </c>
      <c r="V75" s="33">
        <v>1.538</v>
      </c>
      <c r="W75" s="12">
        <v>0.18099999999999999</v>
      </c>
      <c r="X75" s="12">
        <v>20232</v>
      </c>
      <c r="Y75" s="12">
        <v>89.4</v>
      </c>
      <c r="Z75" s="12">
        <v>9.5</v>
      </c>
      <c r="AA75" s="12">
        <v>1.3089999999999999</v>
      </c>
      <c r="AB75" s="12">
        <v>0.17499999999999999</v>
      </c>
      <c r="AC75" s="12">
        <v>52.8</v>
      </c>
      <c r="AD75" s="12" t="s">
        <v>283</v>
      </c>
      <c r="AE75" s="12">
        <v>20.411000000000001</v>
      </c>
      <c r="AF75" s="12">
        <v>7.0759999999999996</v>
      </c>
      <c r="AG75" s="12" t="s">
        <v>297</v>
      </c>
    </row>
    <row r="76" spans="1:37">
      <c r="A76" s="13"/>
      <c r="B76" s="14"/>
      <c r="C76" s="1"/>
      <c r="D76" s="1" t="s">
        <v>298</v>
      </c>
      <c r="E76" s="20"/>
      <c r="F76" s="1" t="s">
        <v>298</v>
      </c>
      <c r="G76" s="7"/>
      <c r="I76" s="7"/>
      <c r="L76" s="9"/>
      <c r="M76" s="29" t="s">
        <v>299</v>
      </c>
      <c r="N76" s="12" t="s">
        <v>273</v>
      </c>
      <c r="O76" s="12">
        <f>(2.9+2.1+4.5+3.4+3.1)/(100-70.6)</f>
        <v>0.54421768707482987</v>
      </c>
      <c r="P76" s="12">
        <v>0.7</v>
      </c>
      <c r="Q76" s="12">
        <v>12.8</v>
      </c>
      <c r="R76" s="12" t="s">
        <v>300</v>
      </c>
      <c r="S76" s="12" t="s">
        <v>54</v>
      </c>
      <c r="T76" s="12" t="s">
        <v>281</v>
      </c>
      <c r="U76" s="12" t="s">
        <v>301</v>
      </c>
      <c r="V76" s="33">
        <v>1.637</v>
      </c>
      <c r="W76" s="12">
        <v>0.221</v>
      </c>
      <c r="X76" s="12">
        <v>16499</v>
      </c>
      <c r="Y76" s="12">
        <v>87.4</v>
      </c>
      <c r="Z76" s="12">
        <v>8.8000000000000007</v>
      </c>
      <c r="AA76" s="12">
        <v>1.5329999999999999</v>
      </c>
      <c r="AB76" s="12">
        <v>0.21</v>
      </c>
      <c r="AC76" s="12">
        <v>62.4</v>
      </c>
      <c r="AD76" s="12" t="s">
        <v>283</v>
      </c>
      <c r="AE76" s="12">
        <v>20.321000000000002</v>
      </c>
      <c r="AF76" s="12">
        <v>6.9029999999999996</v>
      </c>
      <c r="AG76" s="12" t="s">
        <v>302</v>
      </c>
    </row>
    <row r="77" spans="1:37">
      <c r="A77" s="13" t="s">
        <v>38</v>
      </c>
      <c r="B77" s="14" t="s">
        <v>39</v>
      </c>
      <c r="C77" s="1" t="s">
        <v>303</v>
      </c>
      <c r="D77" s="1" t="s">
        <v>303</v>
      </c>
      <c r="E77" s="20" t="s">
        <v>271</v>
      </c>
      <c r="F77" s="45" t="s">
        <v>303</v>
      </c>
      <c r="G77" s="7" t="s">
        <v>266</v>
      </c>
      <c r="I77" s="7" t="s">
        <v>267</v>
      </c>
      <c r="L77" s="9" t="s">
        <v>268</v>
      </c>
      <c r="M77" s="29" t="s">
        <v>303</v>
      </c>
      <c r="N77" s="12" t="s">
        <v>273</v>
      </c>
      <c r="O77" s="12">
        <f>(2.1)/(100-2.7)</f>
        <v>2.1582733812949641E-2</v>
      </c>
      <c r="P77" s="12">
        <v>0.45</v>
      </c>
      <c r="Q77" s="12">
        <v>6.3</v>
      </c>
      <c r="R77" s="12" t="s">
        <v>54</v>
      </c>
      <c r="S77" s="12" t="s">
        <v>304</v>
      </c>
      <c r="T77" s="12" t="s">
        <v>305</v>
      </c>
      <c r="U77" s="12" t="s">
        <v>306</v>
      </c>
      <c r="V77" s="33">
        <v>1.8380000000000001</v>
      </c>
      <c r="W77" s="12">
        <v>0.33800000000000002</v>
      </c>
      <c r="X77" s="12">
        <v>14475</v>
      </c>
      <c r="Y77" s="12">
        <v>58.5</v>
      </c>
      <c r="Z77" s="12">
        <v>2.4</v>
      </c>
      <c r="AA77" s="12">
        <v>1.843</v>
      </c>
      <c r="AB77" s="12">
        <v>0.27600000000000002</v>
      </c>
      <c r="AC77" s="12">
        <v>25.1</v>
      </c>
      <c r="AD77" s="12">
        <v>25.1</v>
      </c>
      <c r="AE77" s="12">
        <v>20.736999999999998</v>
      </c>
      <c r="AF77" s="12">
        <v>10.871</v>
      </c>
      <c r="AG77" s="12" t="s">
        <v>307</v>
      </c>
    </row>
    <row r="78" spans="1:37">
      <c r="A78" s="13"/>
      <c r="B78" s="14"/>
      <c r="C78" s="1"/>
      <c r="D78" s="1"/>
      <c r="E78" s="20"/>
      <c r="F78" s="1"/>
      <c r="G78" s="7"/>
      <c r="I78" s="7"/>
      <c r="L78" s="9"/>
      <c r="M78" s="33" t="s">
        <v>308</v>
      </c>
      <c r="N78" s="33" t="s">
        <v>309</v>
      </c>
      <c r="O78" s="12">
        <f>(2.1)/(100-2.7)</f>
        <v>2.1582733812949641E-2</v>
      </c>
      <c r="P78" s="12">
        <v>0.4</v>
      </c>
      <c r="Q78" s="12">
        <v>6.3</v>
      </c>
      <c r="R78" s="12" t="s">
        <v>286</v>
      </c>
      <c r="T78" s="12" t="s">
        <v>310</v>
      </c>
      <c r="U78" s="12" t="s">
        <v>306</v>
      </c>
      <c r="V78" s="33">
        <v>1.849</v>
      </c>
      <c r="W78" s="33">
        <v>0.34599999999999997</v>
      </c>
      <c r="X78" s="33">
        <v>14382</v>
      </c>
      <c r="Y78" s="33">
        <v>59.1</v>
      </c>
      <c r="Z78" s="12">
        <v>2.4</v>
      </c>
      <c r="AA78" s="12">
        <v>1.843</v>
      </c>
      <c r="AB78" s="12">
        <v>0.246</v>
      </c>
      <c r="AC78" s="33">
        <v>25.4</v>
      </c>
    </row>
    <row r="79" spans="1:37">
      <c r="A79" s="13" t="s">
        <v>38</v>
      </c>
      <c r="B79" s="14" t="s">
        <v>39</v>
      </c>
      <c r="C79" s="1" t="s">
        <v>311</v>
      </c>
      <c r="D79" s="1" t="s">
        <v>311</v>
      </c>
      <c r="E79" s="20" t="s">
        <v>271</v>
      </c>
      <c r="F79" s="1" t="s">
        <v>311</v>
      </c>
      <c r="G79" s="7" t="s">
        <v>266</v>
      </c>
      <c r="I79" s="7" t="s">
        <v>267</v>
      </c>
      <c r="L79" s="9" t="s">
        <v>158</v>
      </c>
      <c r="M79" s="12" t="s">
        <v>312</v>
      </c>
    </row>
    <row r="80" spans="1:37">
      <c r="A80" s="13" t="s">
        <v>38</v>
      </c>
      <c r="B80" s="14" t="s">
        <v>39</v>
      </c>
      <c r="C80" s="1" t="s">
        <v>313</v>
      </c>
      <c r="D80" s="1" t="s">
        <v>313</v>
      </c>
      <c r="E80" s="20" t="s">
        <v>271</v>
      </c>
      <c r="F80" s="1" t="s">
        <v>313</v>
      </c>
      <c r="G80" s="7" t="s">
        <v>266</v>
      </c>
      <c r="I80" s="7" t="s">
        <v>267</v>
      </c>
      <c r="L80" s="9" t="s">
        <v>158</v>
      </c>
      <c r="M80" s="12" t="s">
        <v>314</v>
      </c>
    </row>
    <row r="81" spans="1:36">
      <c r="A81" s="13" t="s">
        <v>38</v>
      </c>
      <c r="B81" s="14" t="s">
        <v>39</v>
      </c>
      <c r="C81" s="1" t="s">
        <v>315</v>
      </c>
      <c r="D81" s="1" t="s">
        <v>315</v>
      </c>
      <c r="E81" s="20" t="s">
        <v>271</v>
      </c>
      <c r="F81" s="1" t="s">
        <v>315</v>
      </c>
      <c r="G81" s="7" t="s">
        <v>266</v>
      </c>
      <c r="I81" s="7" t="s">
        <v>267</v>
      </c>
      <c r="L81" s="9" t="s">
        <v>158</v>
      </c>
      <c r="M81" s="12" t="s">
        <v>316</v>
      </c>
    </row>
    <row r="82" spans="1:36">
      <c r="A82" s="13" t="s">
        <v>38</v>
      </c>
      <c r="B82" s="14" t="s">
        <v>39</v>
      </c>
      <c r="C82" s="1" t="s">
        <v>317</v>
      </c>
      <c r="D82" s="1" t="s">
        <v>317</v>
      </c>
      <c r="E82" s="20" t="s">
        <v>318</v>
      </c>
      <c r="F82" s="1" t="s">
        <v>317</v>
      </c>
      <c r="G82" s="7" t="s">
        <v>319</v>
      </c>
      <c r="I82" s="7" t="s">
        <v>320</v>
      </c>
      <c r="L82" s="9" t="s">
        <v>268</v>
      </c>
      <c r="M82" s="12" t="s">
        <v>321</v>
      </c>
    </row>
    <row r="83" spans="1:36">
      <c r="A83" s="13" t="s">
        <v>38</v>
      </c>
      <c r="B83" s="14" t="s">
        <v>39</v>
      </c>
      <c r="C83" s="1" t="s">
        <v>322</v>
      </c>
      <c r="D83" s="1" t="s">
        <v>322</v>
      </c>
      <c r="E83" s="20" t="s">
        <v>318</v>
      </c>
      <c r="F83" s="1" t="s">
        <v>322</v>
      </c>
      <c r="G83" s="7" t="s">
        <v>319</v>
      </c>
      <c r="I83" s="7" t="s">
        <v>320</v>
      </c>
      <c r="L83" s="9" t="s">
        <v>268</v>
      </c>
      <c r="M83" s="29" t="s">
        <v>323</v>
      </c>
      <c r="N83" s="12" t="s">
        <v>273</v>
      </c>
      <c r="O83" s="64">
        <f>(79.7)/(100-11.9)</f>
        <v>0.90465380249716243</v>
      </c>
      <c r="P83" s="64">
        <v>0.5</v>
      </c>
      <c r="Q83" s="12">
        <v>11.71</v>
      </c>
      <c r="R83" s="12" t="s">
        <v>54</v>
      </c>
      <c r="S83" s="12" t="s">
        <v>54</v>
      </c>
      <c r="T83" s="12" t="s">
        <v>324</v>
      </c>
      <c r="U83" s="12" t="s">
        <v>325</v>
      </c>
      <c r="V83" s="33">
        <v>2.431</v>
      </c>
      <c r="W83" s="12">
        <v>0.28699999999999998</v>
      </c>
      <c r="X83" s="12">
        <v>23414</v>
      </c>
      <c r="Y83" s="12">
        <v>97.9</v>
      </c>
      <c r="Z83" s="12">
        <v>20.6</v>
      </c>
      <c r="AA83" s="12">
        <v>1.9850000000000001</v>
      </c>
      <c r="AB83" s="12">
        <v>0.19700000000000001</v>
      </c>
      <c r="AC83" s="12">
        <v>34.700000000000003</v>
      </c>
      <c r="AD83" s="12">
        <v>2.2000000000000002</v>
      </c>
      <c r="AE83" s="12">
        <v>75.625</v>
      </c>
      <c r="AF83" s="12">
        <v>68.835999999999999</v>
      </c>
      <c r="AG83" s="12" t="s">
        <v>326</v>
      </c>
      <c r="AH83" s="12" t="s">
        <v>327</v>
      </c>
      <c r="AI83" s="12">
        <v>324.35000000000002</v>
      </c>
      <c r="AJ83" s="12">
        <v>5.8</v>
      </c>
    </row>
    <row r="84" spans="1:36">
      <c r="A84" s="13" t="s">
        <v>38</v>
      </c>
      <c r="B84" s="14" t="s">
        <v>39</v>
      </c>
      <c r="C84" s="1" t="s">
        <v>328</v>
      </c>
      <c r="D84" s="1" t="s">
        <v>328</v>
      </c>
      <c r="E84" s="20" t="s">
        <v>318</v>
      </c>
      <c r="F84" s="1" t="s">
        <v>328</v>
      </c>
      <c r="G84" s="7" t="s">
        <v>319</v>
      </c>
      <c r="I84" s="7" t="s">
        <v>320</v>
      </c>
      <c r="L84" s="9" t="s">
        <v>268</v>
      </c>
      <c r="M84" s="29" t="s">
        <v>329</v>
      </c>
      <c r="N84" s="12" t="s">
        <v>273</v>
      </c>
      <c r="O84" s="64">
        <f>(91.9)/(100-4.5)</f>
        <v>0.96230366492146602</v>
      </c>
      <c r="P84" s="64">
        <v>0.35</v>
      </c>
      <c r="Q84" s="64">
        <v>13.3</v>
      </c>
      <c r="R84" s="12" t="s">
        <v>54</v>
      </c>
      <c r="S84" s="12" t="s">
        <v>54</v>
      </c>
      <c r="T84" s="12" t="s">
        <v>55</v>
      </c>
      <c r="U84" s="12" t="s">
        <v>330</v>
      </c>
      <c r="V84" s="33">
        <v>2.34</v>
      </c>
      <c r="W84" s="12">
        <v>0.14599999999999999</v>
      </c>
      <c r="X84" s="12">
        <v>25635</v>
      </c>
      <c r="Y84" s="12">
        <v>96.9</v>
      </c>
      <c r="Z84" s="12">
        <v>20.9</v>
      </c>
      <c r="AA84" s="12">
        <v>2.27</v>
      </c>
      <c r="AB84" s="12">
        <v>0.126</v>
      </c>
      <c r="AC84" s="12">
        <v>66.7</v>
      </c>
      <c r="AD84" s="12">
        <v>2.2000000000000002</v>
      </c>
      <c r="AE84" s="12">
        <v>75.55</v>
      </c>
      <c r="AF84" s="12">
        <v>67.728999999999999</v>
      </c>
      <c r="AG84" s="34" t="s">
        <v>331</v>
      </c>
      <c r="AH84" s="12" t="s">
        <v>327</v>
      </c>
      <c r="AI84" s="12">
        <v>343.108</v>
      </c>
      <c r="AJ84" s="12">
        <v>5.7</v>
      </c>
    </row>
    <row r="85" spans="1:36">
      <c r="A85" s="13"/>
      <c r="B85" s="14"/>
      <c r="C85" s="1"/>
      <c r="D85" s="1"/>
      <c r="E85" s="20"/>
      <c r="F85" s="1"/>
      <c r="G85" s="7"/>
      <c r="I85" s="7"/>
      <c r="L85" s="9"/>
      <c r="M85" s="29"/>
      <c r="AG85" s="34"/>
      <c r="AH85" s="33" t="s">
        <v>332</v>
      </c>
      <c r="AI85" s="12">
        <v>2456.8000000000002</v>
      </c>
      <c r="AJ85" s="12">
        <v>60.2</v>
      </c>
    </row>
    <row r="86" spans="1:36" s="50" customFormat="1">
      <c r="A86" s="54" t="s">
        <v>38</v>
      </c>
      <c r="B86" s="55" t="s">
        <v>39</v>
      </c>
      <c r="C86" s="56" t="s">
        <v>333</v>
      </c>
      <c r="D86" s="56" t="s">
        <v>333</v>
      </c>
      <c r="E86" s="57" t="s">
        <v>318</v>
      </c>
      <c r="F86" s="56" t="s">
        <v>333</v>
      </c>
      <c r="G86" s="58" t="s">
        <v>319</v>
      </c>
      <c r="I86" s="58" t="s">
        <v>320</v>
      </c>
      <c r="L86" s="59" t="s">
        <v>268</v>
      </c>
      <c r="M86" s="50" t="s">
        <v>334</v>
      </c>
      <c r="N86" s="50" t="s">
        <v>335</v>
      </c>
      <c r="O86" s="50">
        <f>(83.3)/(100-2.8)</f>
        <v>0.85699588477366251</v>
      </c>
      <c r="P86" s="50">
        <v>0.6</v>
      </c>
      <c r="Q86" s="50">
        <v>13.14</v>
      </c>
      <c r="R86" s="50" t="s">
        <v>54</v>
      </c>
      <c r="S86" s="50" t="s">
        <v>336</v>
      </c>
      <c r="T86" s="50" t="s">
        <v>324</v>
      </c>
      <c r="U86" s="50" t="s">
        <v>337</v>
      </c>
      <c r="V86" s="33">
        <v>2.3620000000000001</v>
      </c>
      <c r="W86" s="50">
        <v>0.27500000000000002</v>
      </c>
      <c r="X86" s="50">
        <v>24830</v>
      </c>
      <c r="Y86" s="50">
        <v>97.7</v>
      </c>
      <c r="Z86" s="50">
        <v>20.5</v>
      </c>
      <c r="AA86" s="50">
        <v>2.4180000000000001</v>
      </c>
      <c r="AB86" s="50">
        <v>0.19600000000000001</v>
      </c>
      <c r="AC86" s="50">
        <v>68.2</v>
      </c>
      <c r="AD86" s="50">
        <v>2.2000000000000002</v>
      </c>
      <c r="AE86" s="50">
        <v>75.534000000000006</v>
      </c>
      <c r="AF86" s="50">
        <v>69.126000000000005</v>
      </c>
      <c r="AG86" s="60" t="s">
        <v>338</v>
      </c>
      <c r="AH86" s="50" t="s">
        <v>339</v>
      </c>
      <c r="AI86" s="50">
        <v>348.11</v>
      </c>
      <c r="AJ86" s="50">
        <v>6.1</v>
      </c>
    </row>
    <row r="87" spans="1:36">
      <c r="A87" s="13"/>
      <c r="B87" s="14"/>
      <c r="C87" s="1"/>
      <c r="D87" s="1"/>
      <c r="E87" s="20"/>
      <c r="F87" s="1"/>
      <c r="G87" s="7"/>
      <c r="I87" s="7"/>
      <c r="L87" s="9"/>
      <c r="M87" s="29"/>
      <c r="AG87" s="34"/>
      <c r="AH87" s="33" t="s">
        <v>340</v>
      </c>
      <c r="AI87" s="12">
        <v>2230.5</v>
      </c>
      <c r="AJ87" s="12">
        <v>57.2</v>
      </c>
    </row>
    <row r="88" spans="1:36">
      <c r="A88" s="13" t="s">
        <v>38</v>
      </c>
      <c r="B88" s="14" t="s">
        <v>39</v>
      </c>
      <c r="C88" s="1" t="s">
        <v>341</v>
      </c>
      <c r="D88" s="1" t="s">
        <v>341</v>
      </c>
      <c r="E88" s="20" t="s">
        <v>318</v>
      </c>
      <c r="F88" s="1" t="s">
        <v>341</v>
      </c>
      <c r="G88" s="7" t="s">
        <v>319</v>
      </c>
      <c r="I88" s="7" t="s">
        <v>320</v>
      </c>
      <c r="L88" s="9" t="s">
        <v>268</v>
      </c>
      <c r="M88" s="12" t="s">
        <v>342</v>
      </c>
    </row>
    <row r="89" spans="1:36">
      <c r="A89" s="13" t="s">
        <v>38</v>
      </c>
      <c r="B89" s="14" t="s">
        <v>39</v>
      </c>
      <c r="C89" s="1" t="s">
        <v>343</v>
      </c>
      <c r="D89" s="1" t="s">
        <v>343</v>
      </c>
      <c r="E89" s="20" t="s">
        <v>344</v>
      </c>
      <c r="F89" s="1" t="s">
        <v>343</v>
      </c>
      <c r="G89" s="7" t="s">
        <v>345</v>
      </c>
      <c r="I89" s="7" t="s">
        <v>346</v>
      </c>
      <c r="L89" s="9" t="s">
        <v>268</v>
      </c>
      <c r="M89" s="12" t="s">
        <v>342</v>
      </c>
    </row>
    <row r="90" spans="1:36">
      <c r="A90" s="13" t="s">
        <v>38</v>
      </c>
      <c r="B90" s="14" t="s">
        <v>39</v>
      </c>
      <c r="C90" s="1" t="s">
        <v>347</v>
      </c>
      <c r="D90" s="1" t="s">
        <v>347</v>
      </c>
      <c r="E90" s="20" t="s">
        <v>344</v>
      </c>
      <c r="F90" s="1" t="s">
        <v>347</v>
      </c>
      <c r="G90" s="7" t="s">
        <v>345</v>
      </c>
      <c r="I90" s="7" t="s">
        <v>346</v>
      </c>
      <c r="L90" s="9" t="s">
        <v>268</v>
      </c>
      <c r="M90" s="12" t="s">
        <v>348</v>
      </c>
    </row>
    <row r="91" spans="1:36" ht="45" customHeight="1">
      <c r="A91" s="13" t="s">
        <v>38</v>
      </c>
      <c r="B91" s="14" t="s">
        <v>39</v>
      </c>
      <c r="C91" s="1" t="s">
        <v>349</v>
      </c>
      <c r="D91" s="1" t="s">
        <v>349</v>
      </c>
      <c r="E91" s="20" t="s">
        <v>344</v>
      </c>
      <c r="F91" s="1" t="s">
        <v>349</v>
      </c>
      <c r="G91" s="7" t="s">
        <v>345</v>
      </c>
      <c r="I91" s="7" t="s">
        <v>346</v>
      </c>
      <c r="L91" s="9" t="s">
        <v>350</v>
      </c>
      <c r="M91" s="29" t="s">
        <v>351</v>
      </c>
      <c r="N91" s="12" t="s">
        <v>352</v>
      </c>
      <c r="O91" s="12">
        <f>(30.1+13.5+11+5.4+5.9+7.5+4.8)/(100-0.9)</f>
        <v>0.78910191725529777</v>
      </c>
      <c r="P91" s="12">
        <v>0.32500000000000001</v>
      </c>
      <c r="Q91" s="12">
        <v>8.3000000000000007</v>
      </c>
      <c r="R91" s="12" t="s">
        <v>353</v>
      </c>
      <c r="S91" s="12" t="s">
        <v>54</v>
      </c>
      <c r="T91" s="12" t="s">
        <v>281</v>
      </c>
      <c r="U91" s="12" t="s">
        <v>354</v>
      </c>
      <c r="V91" s="33">
        <v>1.9610000000000001</v>
      </c>
      <c r="W91" s="12">
        <v>0.33600000000000002</v>
      </c>
      <c r="X91" s="12">
        <v>11074</v>
      </c>
      <c r="Y91" s="12">
        <v>99.9</v>
      </c>
      <c r="Z91" s="12">
        <v>6.4</v>
      </c>
      <c r="AA91" s="12">
        <v>1.575</v>
      </c>
      <c r="AB91" s="12">
        <v>0.42399999999999999</v>
      </c>
      <c r="AC91" s="12">
        <v>63.4</v>
      </c>
      <c r="AD91" s="12" t="s">
        <v>54</v>
      </c>
      <c r="AE91" s="12">
        <v>17.373000000000001</v>
      </c>
      <c r="AF91" s="12">
        <v>7.5069999999999997</v>
      </c>
      <c r="AG91" s="34" t="s">
        <v>355</v>
      </c>
      <c r="AH91" s="12" t="s">
        <v>356</v>
      </c>
      <c r="AI91" s="12">
        <v>19.23</v>
      </c>
      <c r="AJ91" s="12">
        <v>4.9000000000000004</v>
      </c>
    </row>
    <row r="92" spans="1:36" ht="23.25">
      <c r="A92" s="13" t="s">
        <v>38</v>
      </c>
      <c r="B92" s="14" t="s">
        <v>39</v>
      </c>
      <c r="C92" s="1" t="s">
        <v>357</v>
      </c>
      <c r="D92" s="1" t="s">
        <v>357</v>
      </c>
      <c r="E92" s="20" t="s">
        <v>344</v>
      </c>
      <c r="F92" s="1" t="s">
        <v>357</v>
      </c>
      <c r="G92" s="7" t="s">
        <v>345</v>
      </c>
      <c r="I92" s="7" t="s">
        <v>346</v>
      </c>
      <c r="L92" s="9" t="s">
        <v>350</v>
      </c>
      <c r="M92" s="29" t="s">
        <v>358</v>
      </c>
      <c r="N92" s="12" t="s">
        <v>359</v>
      </c>
      <c r="O92" s="12">
        <f>(10.8+4.7+2.1)/(100-62.3)</f>
        <v>0.46684350132625996</v>
      </c>
      <c r="P92" s="12">
        <v>0.6</v>
      </c>
      <c r="Q92" s="12">
        <v>7.31</v>
      </c>
      <c r="R92" s="12" t="s">
        <v>360</v>
      </c>
      <c r="S92" s="12">
        <v>720</v>
      </c>
      <c r="T92" s="12" t="s">
        <v>324</v>
      </c>
      <c r="U92" s="12" t="s">
        <v>361</v>
      </c>
      <c r="V92" s="33">
        <v>2.8889999999999998</v>
      </c>
      <c r="W92" s="12">
        <v>0.61399999999999999</v>
      </c>
      <c r="X92" s="12">
        <v>13367</v>
      </c>
      <c r="Y92" s="12">
        <v>94.5</v>
      </c>
      <c r="Z92" s="12">
        <v>9.3000000000000007</v>
      </c>
      <c r="AA92" s="12">
        <v>2.9079999999999999</v>
      </c>
      <c r="AB92" s="12">
        <v>0.4</v>
      </c>
      <c r="AC92" s="12">
        <v>68.7</v>
      </c>
      <c r="AD92" s="12">
        <v>2.2000000000000002</v>
      </c>
      <c r="AE92" s="12">
        <v>75.738</v>
      </c>
      <c r="AF92" s="12">
        <v>67.257000000000005</v>
      </c>
      <c r="AG92" s="34" t="s">
        <v>362</v>
      </c>
      <c r="AH92" s="33" t="s">
        <v>363</v>
      </c>
      <c r="AI92" s="12">
        <v>1437</v>
      </c>
      <c r="AJ92" s="12">
        <v>42.6</v>
      </c>
    </row>
    <row r="93" spans="1:36" ht="23.25">
      <c r="A93" s="13" t="s">
        <v>38</v>
      </c>
      <c r="B93" s="14" t="s">
        <v>39</v>
      </c>
      <c r="C93" s="1" t="s">
        <v>364</v>
      </c>
      <c r="D93" s="1" t="s">
        <v>364</v>
      </c>
      <c r="E93" s="20" t="s">
        <v>344</v>
      </c>
      <c r="F93" s="1" t="s">
        <v>364</v>
      </c>
      <c r="G93" s="7" t="s">
        <v>345</v>
      </c>
      <c r="I93" s="7" t="s">
        <v>346</v>
      </c>
      <c r="L93" s="9" t="s">
        <v>350</v>
      </c>
      <c r="M93" s="29" t="s">
        <v>358</v>
      </c>
      <c r="N93" s="12" t="s">
        <v>359</v>
      </c>
      <c r="O93" s="12">
        <f>(26.4+5.3+2.5)/(100-47.6)</f>
        <v>0.65267175572519087</v>
      </c>
      <c r="P93" s="12">
        <v>0.55000000000000004</v>
      </c>
      <c r="Q93" s="12">
        <v>6.63</v>
      </c>
      <c r="R93" s="12" t="s">
        <v>365</v>
      </c>
      <c r="S93" s="12" t="s">
        <v>366</v>
      </c>
      <c r="T93" s="12" t="s">
        <v>367</v>
      </c>
      <c r="U93" s="12" t="s">
        <v>368</v>
      </c>
      <c r="V93" s="33">
        <v>3.0379999999999998</v>
      </c>
      <c r="W93" s="12">
        <v>0.47799999999999998</v>
      </c>
      <c r="X93" s="12">
        <v>10985</v>
      </c>
      <c r="Y93" s="12">
        <v>90.5</v>
      </c>
      <c r="Z93" s="12">
        <v>9.8000000000000007</v>
      </c>
      <c r="AA93" s="12">
        <v>3.2930000000000001</v>
      </c>
      <c r="AB93" s="12">
        <v>0.312</v>
      </c>
      <c r="AC93" s="12">
        <v>77.400000000000006</v>
      </c>
      <c r="AD93" s="12">
        <v>2.2000000000000002</v>
      </c>
      <c r="AE93" s="12">
        <v>75.561999999999998</v>
      </c>
      <c r="AF93" s="12">
        <v>65.293000000000006</v>
      </c>
      <c r="AG93" s="34" t="s">
        <v>369</v>
      </c>
      <c r="AH93" s="12" t="s">
        <v>370</v>
      </c>
    </row>
    <row r="94" spans="1:36">
      <c r="A94" s="13" t="s">
        <v>38</v>
      </c>
      <c r="B94" s="14" t="s">
        <v>39</v>
      </c>
      <c r="C94" s="1" t="s">
        <v>371</v>
      </c>
      <c r="D94" s="1" t="s">
        <v>371</v>
      </c>
      <c r="E94" s="20" t="s">
        <v>344</v>
      </c>
      <c r="F94" s="1" t="s">
        <v>371</v>
      </c>
      <c r="G94" s="7" t="s">
        <v>345</v>
      </c>
      <c r="I94" s="7" t="s">
        <v>346</v>
      </c>
      <c r="L94" s="9" t="s">
        <v>268</v>
      </c>
      <c r="M94" s="29" t="s">
        <v>372</v>
      </c>
      <c r="N94" s="12" t="s">
        <v>373</v>
      </c>
      <c r="O94" s="12">
        <f>(27.8+3.3)/(100-9.1)</f>
        <v>0.34213421342134215</v>
      </c>
      <c r="P94" s="12">
        <v>0.6</v>
      </c>
      <c r="Q94" s="12">
        <v>8.56</v>
      </c>
      <c r="R94" s="12" t="s">
        <v>374</v>
      </c>
      <c r="S94" s="12" t="s">
        <v>375</v>
      </c>
      <c r="T94" s="12" t="s">
        <v>104</v>
      </c>
      <c r="U94" s="12" t="s">
        <v>376</v>
      </c>
      <c r="V94" s="33">
        <v>4.2770000000000001</v>
      </c>
      <c r="W94" s="12">
        <v>0.30399999999999999</v>
      </c>
      <c r="X94" s="12">
        <v>6768</v>
      </c>
      <c r="Y94" s="12">
        <v>99.2</v>
      </c>
      <c r="Z94" s="12">
        <v>3.6</v>
      </c>
      <c r="AA94" s="12">
        <v>3.145</v>
      </c>
      <c r="AB94" s="12">
        <v>0.36399999999999999</v>
      </c>
      <c r="AC94" s="12">
        <v>56.2</v>
      </c>
      <c r="AD94" s="12">
        <v>2.2000000000000002</v>
      </c>
      <c r="AE94" s="12">
        <v>70.686000000000007</v>
      </c>
      <c r="AF94" s="12">
        <v>66.114999999999995</v>
      </c>
      <c r="AG94" s="12" t="s">
        <v>377</v>
      </c>
      <c r="AH94" s="33" t="s">
        <v>363</v>
      </c>
      <c r="AI94" s="12">
        <v>696.4</v>
      </c>
      <c r="AJ94" s="12">
        <v>26.5</v>
      </c>
    </row>
    <row r="95" spans="1:36">
      <c r="A95" s="13" t="s">
        <v>38</v>
      </c>
      <c r="B95" s="14" t="s">
        <v>39</v>
      </c>
      <c r="C95" s="1" t="s">
        <v>378</v>
      </c>
      <c r="D95" s="1" t="s">
        <v>378</v>
      </c>
      <c r="E95" s="20" t="s">
        <v>344</v>
      </c>
      <c r="F95" s="1" t="s">
        <v>378</v>
      </c>
      <c r="G95" s="7" t="s">
        <v>345</v>
      </c>
      <c r="I95" s="7" t="s">
        <v>346</v>
      </c>
      <c r="L95" s="9" t="s">
        <v>268</v>
      </c>
      <c r="M95" s="12" t="s">
        <v>379</v>
      </c>
      <c r="N95" s="32" t="s">
        <v>380</v>
      </c>
    </row>
    <row r="96" spans="1:36" ht="23.25">
      <c r="A96" s="13" t="s">
        <v>38</v>
      </c>
      <c r="B96" s="14" t="s">
        <v>39</v>
      </c>
      <c r="C96" s="1" t="s">
        <v>381</v>
      </c>
      <c r="D96" s="1" t="s">
        <v>381</v>
      </c>
      <c r="E96" s="20" t="s">
        <v>344</v>
      </c>
      <c r="F96" s="1" t="s">
        <v>381</v>
      </c>
      <c r="G96" s="7" t="s">
        <v>345</v>
      </c>
      <c r="I96" s="7" t="s">
        <v>346</v>
      </c>
      <c r="L96" s="9" t="s">
        <v>268</v>
      </c>
      <c r="M96" s="12" t="s">
        <v>379</v>
      </c>
      <c r="N96" s="32" t="s">
        <v>382</v>
      </c>
    </row>
    <row r="97" spans="1:37">
      <c r="A97" s="13" t="s">
        <v>38</v>
      </c>
      <c r="B97" s="14" t="s">
        <v>39</v>
      </c>
      <c r="C97" s="1" t="s">
        <v>383</v>
      </c>
      <c r="D97" s="1" t="s">
        <v>383</v>
      </c>
      <c r="E97" s="20" t="s">
        <v>344</v>
      </c>
      <c r="F97" s="45" t="s">
        <v>383</v>
      </c>
      <c r="G97" s="7" t="s">
        <v>345</v>
      </c>
      <c r="I97" s="7" t="s">
        <v>346</v>
      </c>
      <c r="L97" s="9" t="s">
        <v>268</v>
      </c>
      <c r="M97" s="29" t="s">
        <v>351</v>
      </c>
      <c r="N97" s="12" t="s">
        <v>359</v>
      </c>
      <c r="O97" s="12">
        <f>(87.3)/(100-0.6)</f>
        <v>0.87826961770623735</v>
      </c>
      <c r="P97" s="12">
        <v>5.5E-2</v>
      </c>
      <c r="Q97" s="12">
        <v>3.38</v>
      </c>
      <c r="R97" s="12" t="s">
        <v>384</v>
      </c>
      <c r="S97" s="12" t="s">
        <v>54</v>
      </c>
      <c r="T97" s="32" t="s">
        <v>385</v>
      </c>
    </row>
    <row r="98" spans="1:37">
      <c r="A98" s="48"/>
      <c r="B98" s="47"/>
      <c r="C98" s="1"/>
      <c r="D98" s="1"/>
      <c r="E98" s="20"/>
      <c r="F98" s="1"/>
      <c r="G98" s="7"/>
      <c r="I98" s="7"/>
      <c r="L98" s="9"/>
      <c r="M98" s="33" t="s">
        <v>386</v>
      </c>
      <c r="N98" s="12" t="s">
        <v>359</v>
      </c>
      <c r="O98" s="12">
        <f>(87.5)/(100-0.3)</f>
        <v>0.87763289869608829</v>
      </c>
      <c r="P98" s="12">
        <v>0.5</v>
      </c>
      <c r="Q98" s="12">
        <v>1.76</v>
      </c>
      <c r="R98" s="12" t="s">
        <v>387</v>
      </c>
      <c r="S98" s="12" t="s">
        <v>388</v>
      </c>
      <c r="T98" s="12" t="s">
        <v>104</v>
      </c>
      <c r="U98" s="12" t="s">
        <v>389</v>
      </c>
      <c r="V98" s="33">
        <v>3.097</v>
      </c>
      <c r="W98" s="12">
        <v>0.86199999999999999</v>
      </c>
      <c r="X98" s="12">
        <v>33742</v>
      </c>
      <c r="Y98" s="12">
        <v>99.3</v>
      </c>
      <c r="Z98" s="12">
        <v>6.2</v>
      </c>
      <c r="AA98" s="12">
        <v>3.036</v>
      </c>
      <c r="AB98" s="12">
        <v>0.58399999999999996</v>
      </c>
      <c r="AC98" s="12">
        <v>64.900000000000006</v>
      </c>
      <c r="AD98" s="12" t="s">
        <v>390</v>
      </c>
      <c r="AE98" s="12">
        <v>75.959999999999994</v>
      </c>
      <c r="AF98" s="12">
        <v>69.11</v>
      </c>
      <c r="AH98" s="12" t="s">
        <v>391</v>
      </c>
      <c r="AI98" s="12">
        <v>64.944000000000003</v>
      </c>
      <c r="AJ98" s="12">
        <v>5.9</v>
      </c>
    </row>
    <row r="99" spans="1:37">
      <c r="A99" s="48"/>
      <c r="B99" s="47"/>
      <c r="C99" s="1"/>
      <c r="D99" s="1"/>
      <c r="E99" s="20"/>
      <c r="F99" s="1"/>
      <c r="G99" s="7"/>
      <c r="I99" s="7"/>
      <c r="L99" s="9"/>
      <c r="M99" s="33" t="s">
        <v>392</v>
      </c>
      <c r="N99" s="12" t="s">
        <v>359</v>
      </c>
      <c r="O99" s="12">
        <f>(82.7)/(100-0.5)</f>
        <v>0.83115577889447234</v>
      </c>
      <c r="P99" s="12">
        <v>0.45</v>
      </c>
      <c r="Q99" s="12">
        <v>7.16</v>
      </c>
      <c r="R99" s="12" t="s">
        <v>388</v>
      </c>
      <c r="S99" s="12" t="s">
        <v>393</v>
      </c>
      <c r="T99" s="12" t="s">
        <v>367</v>
      </c>
      <c r="U99" s="12" t="s">
        <v>394</v>
      </c>
      <c r="V99" s="33">
        <v>2.6619999999999999</v>
      </c>
      <c r="W99" s="12">
        <v>0.65500000000000003</v>
      </c>
      <c r="X99" s="12">
        <v>18138</v>
      </c>
      <c r="Y99" s="12">
        <v>100</v>
      </c>
      <c r="Z99" s="12">
        <v>11.8</v>
      </c>
      <c r="AA99" s="12">
        <v>2.7570000000000001</v>
      </c>
      <c r="AB99" s="12">
        <v>0.40899999999999997</v>
      </c>
      <c r="AC99" s="12">
        <v>72.8</v>
      </c>
    </row>
    <row r="100" spans="1:37" ht="24.75">
      <c r="A100" s="13" t="s">
        <v>38</v>
      </c>
      <c r="B100" s="14" t="s">
        <v>39</v>
      </c>
      <c r="C100" s="1" t="s">
        <v>395</v>
      </c>
      <c r="D100" s="1" t="s">
        <v>395</v>
      </c>
      <c r="E100" s="20" t="s">
        <v>344</v>
      </c>
      <c r="F100" s="45" t="s">
        <v>395</v>
      </c>
      <c r="G100" s="7" t="s">
        <v>345</v>
      </c>
      <c r="I100" s="7" t="s">
        <v>346</v>
      </c>
      <c r="L100" s="9" t="s">
        <v>268</v>
      </c>
      <c r="M100" s="29" t="s">
        <v>351</v>
      </c>
      <c r="N100" s="12" t="s">
        <v>396</v>
      </c>
      <c r="O100" s="12">
        <f>(39.8)/(100-26.1)</f>
        <v>0.53856562922868734</v>
      </c>
      <c r="P100" s="12">
        <v>0.45</v>
      </c>
      <c r="Q100" s="12">
        <v>18.03</v>
      </c>
      <c r="R100" s="12" t="s">
        <v>397</v>
      </c>
      <c r="S100" s="12" t="s">
        <v>398</v>
      </c>
      <c r="T100" s="12" t="s">
        <v>104</v>
      </c>
      <c r="U100" s="12" t="s">
        <v>399</v>
      </c>
      <c r="V100" s="33">
        <v>3.4860000000000002</v>
      </c>
      <c r="W100" s="12">
        <v>0.26400000000000001</v>
      </c>
      <c r="X100" s="12">
        <v>11087</v>
      </c>
      <c r="Y100" s="12">
        <v>91.2</v>
      </c>
      <c r="Z100" s="12">
        <v>3.2</v>
      </c>
      <c r="AA100" s="12">
        <v>2.6259999999999999</v>
      </c>
      <c r="AB100" s="12">
        <v>0.2</v>
      </c>
      <c r="AC100" s="12">
        <v>41.9</v>
      </c>
      <c r="AD100" s="12">
        <v>2.1999999999999999E-2</v>
      </c>
      <c r="AE100" s="12">
        <v>70.501999999999995</v>
      </c>
      <c r="AF100" s="12">
        <v>654.54899999999998</v>
      </c>
      <c r="AG100" s="44" t="s">
        <v>400</v>
      </c>
      <c r="AH100" s="12" t="s">
        <v>401</v>
      </c>
      <c r="AI100" s="12">
        <v>43.93</v>
      </c>
      <c r="AJ100" s="12">
        <v>5.4</v>
      </c>
    </row>
    <row r="101" spans="1:37" ht="23.25">
      <c r="A101" s="13" t="s">
        <v>38</v>
      </c>
      <c r="B101" s="14" t="s">
        <v>39</v>
      </c>
      <c r="C101" s="1" t="s">
        <v>402</v>
      </c>
      <c r="D101" s="1" t="s">
        <v>402</v>
      </c>
      <c r="E101" s="20" t="s">
        <v>403</v>
      </c>
      <c r="F101" s="45" t="s">
        <v>402</v>
      </c>
      <c r="G101" s="7" t="s">
        <v>404</v>
      </c>
      <c r="I101" s="7" t="s">
        <v>405</v>
      </c>
      <c r="L101" s="9" t="s">
        <v>268</v>
      </c>
      <c r="M101" s="29" t="s">
        <v>351</v>
      </c>
      <c r="N101" s="12" t="s">
        <v>373</v>
      </c>
      <c r="O101" s="12">
        <f>(12.6+20+43.6)/(100-6.5)</f>
        <v>0.81497326203208564</v>
      </c>
      <c r="P101" s="12">
        <v>0.25</v>
      </c>
      <c r="Q101" s="12">
        <v>11.76</v>
      </c>
      <c r="R101" s="12" t="s">
        <v>406</v>
      </c>
      <c r="S101" s="12" t="s">
        <v>54</v>
      </c>
      <c r="T101" s="12" t="s">
        <v>281</v>
      </c>
      <c r="U101" s="12" t="s">
        <v>407</v>
      </c>
      <c r="V101" s="33">
        <v>1.7849999999999999</v>
      </c>
      <c r="W101" s="12">
        <v>0.20200000000000001</v>
      </c>
      <c r="X101" s="12">
        <v>13455</v>
      </c>
      <c r="Y101" s="12">
        <v>91.9</v>
      </c>
      <c r="Z101" s="12">
        <v>6.4</v>
      </c>
      <c r="AA101" s="12">
        <v>1.454</v>
      </c>
      <c r="AB101" s="12">
        <v>0.247</v>
      </c>
      <c r="AC101" s="12">
        <v>58.8</v>
      </c>
      <c r="AD101" s="12" t="s">
        <v>54</v>
      </c>
      <c r="AE101" s="12">
        <v>17.135000000000002</v>
      </c>
      <c r="AF101" s="12">
        <v>7.0190000000000001</v>
      </c>
      <c r="AG101" s="34" t="s">
        <v>408</v>
      </c>
      <c r="AH101" s="12" t="s">
        <v>409</v>
      </c>
      <c r="AI101" s="12">
        <v>192.95</v>
      </c>
      <c r="AJ101" s="12">
        <v>10.3</v>
      </c>
      <c r="AK101" s="12" t="s">
        <v>410</v>
      </c>
    </row>
    <row r="102" spans="1:37">
      <c r="A102" s="13"/>
      <c r="B102" s="14"/>
      <c r="C102" s="1"/>
      <c r="D102" s="1" t="s">
        <v>411</v>
      </c>
      <c r="E102" s="20" t="s">
        <v>412</v>
      </c>
      <c r="F102" s="1" t="s">
        <v>411</v>
      </c>
      <c r="G102" s="7"/>
      <c r="I102" s="7"/>
      <c r="L102" s="9"/>
      <c r="M102" s="29" t="s">
        <v>351</v>
      </c>
      <c r="N102" s="12" t="s">
        <v>413</v>
      </c>
      <c r="O102" s="12">
        <f>(41.9+23.4+10+5.2)/(100-6.5)</f>
        <v>0.86096256684491979</v>
      </c>
      <c r="P102" s="12">
        <v>0.32500000000000001</v>
      </c>
      <c r="Q102" s="12">
        <v>9.81</v>
      </c>
      <c r="R102" s="12" t="s">
        <v>414</v>
      </c>
      <c r="S102" s="12" t="s">
        <v>54</v>
      </c>
      <c r="T102" s="12" t="s">
        <v>281</v>
      </c>
      <c r="U102" s="12" t="s">
        <v>415</v>
      </c>
      <c r="V102" s="33">
        <v>1.68</v>
      </c>
      <c r="W102" s="12">
        <v>0.20399999999999999</v>
      </c>
      <c r="X102" s="12">
        <v>16102</v>
      </c>
      <c r="Y102" s="12">
        <v>92.1</v>
      </c>
      <c r="Z102" s="12">
        <v>5.2</v>
      </c>
      <c r="AA102" s="12">
        <v>1.601</v>
      </c>
      <c r="AB102" s="12">
        <v>0.214</v>
      </c>
      <c r="AC102" s="12">
        <v>75.5</v>
      </c>
      <c r="AD102" s="12" t="s">
        <v>54</v>
      </c>
      <c r="AE102" s="12">
        <v>17.126000000000001</v>
      </c>
      <c r="AF102" s="12">
        <v>6.9029999999999996</v>
      </c>
      <c r="AG102" s="34" t="s">
        <v>416</v>
      </c>
    </row>
    <row r="103" spans="1:37" s="35" customFormat="1" ht="23.25">
      <c r="A103" s="65" t="s">
        <v>38</v>
      </c>
      <c r="B103" s="66" t="s">
        <v>39</v>
      </c>
      <c r="C103" s="67" t="s">
        <v>417</v>
      </c>
      <c r="D103" s="67" t="s">
        <v>417</v>
      </c>
      <c r="E103" s="68" t="s">
        <v>403</v>
      </c>
      <c r="F103" s="67" t="s">
        <v>417</v>
      </c>
      <c r="G103" s="69" t="s">
        <v>404</v>
      </c>
      <c r="I103" s="69" t="s">
        <v>405</v>
      </c>
      <c r="L103" s="70" t="s">
        <v>268</v>
      </c>
      <c r="M103" s="35" t="s">
        <v>64</v>
      </c>
      <c r="N103" s="35" t="s">
        <v>413</v>
      </c>
      <c r="O103" s="35">
        <f>(56.1+29.6)/(100-0.1)</f>
        <v>0.85785785785785784</v>
      </c>
      <c r="P103" s="35">
        <v>0.45</v>
      </c>
      <c r="Q103" s="35">
        <v>12.19</v>
      </c>
      <c r="R103" s="35" t="s">
        <v>54</v>
      </c>
      <c r="S103" s="35" t="s">
        <v>418</v>
      </c>
      <c r="T103" s="35" t="s">
        <v>419</v>
      </c>
      <c r="U103" s="35" t="s">
        <v>420</v>
      </c>
      <c r="V103" s="35">
        <v>2.7469999999999999</v>
      </c>
      <c r="W103" s="35">
        <v>0.50600000000000001</v>
      </c>
      <c r="X103" s="35">
        <v>48556</v>
      </c>
      <c r="Y103" s="35">
        <v>99.2</v>
      </c>
      <c r="Z103" s="35">
        <v>3.5</v>
      </c>
      <c r="AA103" s="35">
        <v>2.419</v>
      </c>
      <c r="AB103" s="35">
        <v>0.317</v>
      </c>
      <c r="AC103" s="35">
        <v>44</v>
      </c>
      <c r="AD103" s="35" t="s">
        <v>421</v>
      </c>
      <c r="AE103" s="35">
        <v>75.415000000000006</v>
      </c>
      <c r="AF103" s="35">
        <v>73.789000000000001</v>
      </c>
      <c r="AG103" s="71">
        <v>84.68</v>
      </c>
    </row>
    <row r="104" spans="1:37">
      <c r="A104" s="13" t="s">
        <v>38</v>
      </c>
      <c r="B104" s="14" t="s">
        <v>39</v>
      </c>
      <c r="C104" s="1" t="s">
        <v>422</v>
      </c>
      <c r="D104" s="1" t="s">
        <v>422</v>
      </c>
      <c r="E104" s="20" t="s">
        <v>423</v>
      </c>
      <c r="F104" s="1" t="s">
        <v>422</v>
      </c>
      <c r="G104" s="7" t="s">
        <v>424</v>
      </c>
      <c r="I104" s="7" t="s">
        <v>425</v>
      </c>
      <c r="L104" s="9" t="s">
        <v>229</v>
      </c>
      <c r="M104" s="12" t="s">
        <v>426</v>
      </c>
    </row>
    <row r="105" spans="1:37">
      <c r="A105" s="13" t="s">
        <v>38</v>
      </c>
      <c r="B105" s="14" t="s">
        <v>39</v>
      </c>
      <c r="C105" s="1" t="s">
        <v>427</v>
      </c>
      <c r="D105" s="1" t="s">
        <v>427</v>
      </c>
      <c r="E105" s="20" t="s">
        <v>423</v>
      </c>
      <c r="F105" s="1" t="s">
        <v>427</v>
      </c>
      <c r="G105" s="7" t="s">
        <v>424</v>
      </c>
      <c r="I105" s="7" t="s">
        <v>425</v>
      </c>
      <c r="L105" s="9" t="s">
        <v>229</v>
      </c>
      <c r="M105" s="29" t="s">
        <v>64</v>
      </c>
      <c r="N105" s="12" t="s">
        <v>428</v>
      </c>
      <c r="O105" s="12">
        <f>(35.9+36.4+14.5+3.6)/(100-0.1)</f>
        <v>0.90490490490490472</v>
      </c>
      <c r="P105" s="12">
        <v>0.5</v>
      </c>
      <c r="Q105" s="12">
        <v>7.51</v>
      </c>
      <c r="R105" s="12" t="s">
        <v>429</v>
      </c>
      <c r="S105" s="12" t="s">
        <v>54</v>
      </c>
      <c r="T105" s="12" t="s">
        <v>281</v>
      </c>
      <c r="U105" s="12" t="s">
        <v>430</v>
      </c>
      <c r="V105" s="33">
        <v>1.796</v>
      </c>
      <c r="W105" s="12">
        <v>0.26200000000000001</v>
      </c>
      <c r="X105" s="12">
        <v>14050</v>
      </c>
      <c r="Y105" s="12">
        <v>99.2</v>
      </c>
      <c r="Z105" s="12">
        <v>4.7</v>
      </c>
      <c r="AA105" s="12">
        <v>1.4850000000000001</v>
      </c>
      <c r="AB105" s="12">
        <v>0.27100000000000002</v>
      </c>
      <c r="AC105" s="12">
        <v>64.7</v>
      </c>
      <c r="AD105" s="12" t="s">
        <v>54</v>
      </c>
      <c r="AE105" s="12">
        <v>25.317</v>
      </c>
      <c r="AF105" s="12">
        <v>6.657</v>
      </c>
      <c r="AG105" s="12" t="s">
        <v>431</v>
      </c>
    </row>
    <row r="106" spans="1:37" s="41" customFormat="1">
      <c r="A106" s="36" t="s">
        <v>38</v>
      </c>
      <c r="B106" s="37" t="s">
        <v>39</v>
      </c>
      <c r="C106" s="38" t="s">
        <v>432</v>
      </c>
      <c r="D106" s="38" t="s">
        <v>432</v>
      </c>
      <c r="E106" s="39" t="s">
        <v>423</v>
      </c>
      <c r="F106" s="46" t="s">
        <v>432</v>
      </c>
      <c r="G106" s="40" t="s">
        <v>424</v>
      </c>
      <c r="I106" s="40" t="s">
        <v>425</v>
      </c>
      <c r="L106" s="42" t="s">
        <v>229</v>
      </c>
      <c r="M106" s="41" t="s">
        <v>64</v>
      </c>
      <c r="N106" s="41" t="s">
        <v>428</v>
      </c>
      <c r="O106" s="41">
        <f>(2.6+3.1+6.5+5.1+24.2+21.7)/(100-10.6)</f>
        <v>0.70693512304250561</v>
      </c>
      <c r="P106" s="41">
        <v>0.45</v>
      </c>
      <c r="Q106" s="41">
        <v>13.22</v>
      </c>
      <c r="R106" s="41" t="s">
        <v>433</v>
      </c>
      <c r="S106" s="41" t="s">
        <v>54</v>
      </c>
      <c r="T106" s="41" t="s">
        <v>104</v>
      </c>
      <c r="U106" s="41" t="s">
        <v>434</v>
      </c>
      <c r="V106" s="62">
        <v>1.853</v>
      </c>
      <c r="W106" s="41">
        <v>0.16300000000000001</v>
      </c>
      <c r="X106" s="41">
        <v>18977</v>
      </c>
      <c r="Y106" s="41">
        <v>75.2</v>
      </c>
      <c r="Z106" s="41">
        <v>2.2000000000000002</v>
      </c>
      <c r="AA106" s="41">
        <v>1.65</v>
      </c>
      <c r="AB106" s="41">
        <v>0.16700000000000001</v>
      </c>
      <c r="AC106" s="41">
        <v>51.7</v>
      </c>
      <c r="AD106" s="41">
        <v>47.8</v>
      </c>
      <c r="AE106" s="41">
        <v>19.158000000000001</v>
      </c>
      <c r="AF106" s="41">
        <v>5.8739999999999997</v>
      </c>
      <c r="AG106" s="43" t="s">
        <v>435</v>
      </c>
      <c r="AH106" s="41" t="s">
        <v>436</v>
      </c>
      <c r="AI106" s="41">
        <v>23.85</v>
      </c>
      <c r="AJ106" s="41">
        <v>4.9000000000000004</v>
      </c>
    </row>
    <row r="107" spans="1:37" s="41" customFormat="1">
      <c r="A107" s="36"/>
      <c r="B107" s="37"/>
      <c r="C107" s="38"/>
      <c r="D107" s="38"/>
      <c r="E107" s="39"/>
      <c r="F107" s="46"/>
      <c r="G107" s="40"/>
      <c r="I107" s="40"/>
      <c r="L107" s="42"/>
      <c r="V107" s="62"/>
      <c r="AG107" s="43"/>
      <c r="AH107" s="41" t="s">
        <v>437</v>
      </c>
      <c r="AI107" s="41">
        <v>259.64999999999998</v>
      </c>
      <c r="AJ107" s="41">
        <v>12.1</v>
      </c>
    </row>
    <row r="108" spans="1:37">
      <c r="A108" s="13" t="s">
        <v>38</v>
      </c>
      <c r="B108" s="14" t="s">
        <v>39</v>
      </c>
      <c r="C108" s="1" t="s">
        <v>438</v>
      </c>
      <c r="D108" s="1" t="s">
        <v>438</v>
      </c>
      <c r="E108" s="20" t="s">
        <v>423</v>
      </c>
      <c r="F108" s="1" t="s">
        <v>438</v>
      </c>
      <c r="G108" s="7" t="s">
        <v>424</v>
      </c>
      <c r="I108" s="7" t="s">
        <v>425</v>
      </c>
      <c r="L108" s="9" t="s">
        <v>229</v>
      </c>
      <c r="M108" s="29" t="s">
        <v>64</v>
      </c>
      <c r="N108" s="12" t="s">
        <v>439</v>
      </c>
      <c r="O108" s="12">
        <f>(3.1+22.1+27.8)/(100-1.2)</f>
        <v>0.53643724696356276</v>
      </c>
      <c r="P108" s="12">
        <v>0.5</v>
      </c>
      <c r="Q108" s="12">
        <v>9.9600000000000009</v>
      </c>
      <c r="R108" s="12" t="s">
        <v>440</v>
      </c>
      <c r="S108" s="12" t="s">
        <v>54</v>
      </c>
      <c r="T108" s="12" t="s">
        <v>281</v>
      </c>
      <c r="U108" s="12" t="s">
        <v>441</v>
      </c>
      <c r="V108" s="33">
        <v>1.6879999999999999</v>
      </c>
      <c r="W108" s="12">
        <v>0.19500000000000001</v>
      </c>
      <c r="X108" s="12">
        <v>17065</v>
      </c>
      <c r="Y108" s="12">
        <v>99.8</v>
      </c>
      <c r="Z108" s="12">
        <v>5.2</v>
      </c>
      <c r="AA108" s="12">
        <v>1.41</v>
      </c>
      <c r="AB108" s="12">
        <v>0.22800000000000001</v>
      </c>
      <c r="AC108" s="12">
        <v>78.5</v>
      </c>
      <c r="AD108" s="12" t="s">
        <v>54</v>
      </c>
      <c r="AE108" s="12">
        <v>17.361000000000001</v>
      </c>
      <c r="AF108" s="12">
        <v>6.6</v>
      </c>
      <c r="AG108" s="12" t="s">
        <v>442</v>
      </c>
    </row>
    <row r="109" spans="1:37">
      <c r="A109" s="13" t="s">
        <v>38</v>
      </c>
      <c r="B109" s="14" t="s">
        <v>39</v>
      </c>
      <c r="C109" s="1" t="s">
        <v>443</v>
      </c>
      <c r="D109" s="1" t="s">
        <v>443</v>
      </c>
      <c r="E109" s="20" t="s">
        <v>423</v>
      </c>
      <c r="F109" s="1" t="s">
        <v>443</v>
      </c>
      <c r="G109" s="7" t="s">
        <v>424</v>
      </c>
      <c r="I109" s="7" t="s">
        <v>425</v>
      </c>
      <c r="L109" s="9" t="s">
        <v>229</v>
      </c>
      <c r="M109" s="29" t="s">
        <v>64</v>
      </c>
      <c r="N109" s="12" t="s">
        <v>413</v>
      </c>
      <c r="O109" s="12">
        <f>(5+2.2+3.5+3+5+4+22.6)/(100-0.8)</f>
        <v>0.45665322580645157</v>
      </c>
      <c r="P109" s="12">
        <v>0.375</v>
      </c>
      <c r="Q109" s="12">
        <v>4.9400000000000004</v>
      </c>
      <c r="R109" s="12" t="s">
        <v>444</v>
      </c>
      <c r="S109" s="12" t="s">
        <v>445</v>
      </c>
      <c r="T109" s="12" t="s">
        <v>281</v>
      </c>
      <c r="U109" s="12" t="s">
        <v>446</v>
      </c>
      <c r="V109" s="33">
        <v>2.6619999999999999</v>
      </c>
      <c r="W109" s="12">
        <v>0.36299999999999999</v>
      </c>
      <c r="X109" s="12">
        <v>4361</v>
      </c>
      <c r="Y109" s="12">
        <v>96.2</v>
      </c>
      <c r="Z109" s="12">
        <v>4.7</v>
      </c>
      <c r="AA109" s="12">
        <v>1.74</v>
      </c>
      <c r="AB109" s="12">
        <v>1.222</v>
      </c>
      <c r="AC109" s="12">
        <v>52.9</v>
      </c>
      <c r="AD109" s="12" t="s">
        <v>54</v>
      </c>
      <c r="AE109" s="12">
        <v>17.123999999999999</v>
      </c>
      <c r="AF109" s="12">
        <v>6.7469999999999999</v>
      </c>
      <c r="AG109" s="12" t="s">
        <v>447</v>
      </c>
    </row>
    <row r="110" spans="1:37">
      <c r="A110" s="13" t="s">
        <v>38</v>
      </c>
      <c r="B110" s="14" t="s">
        <v>39</v>
      </c>
      <c r="C110" s="1" t="s">
        <v>448</v>
      </c>
      <c r="D110" s="1" t="s">
        <v>448</v>
      </c>
      <c r="E110" s="20" t="s">
        <v>423</v>
      </c>
      <c r="F110" s="1" t="s">
        <v>448</v>
      </c>
      <c r="G110" s="7" t="s">
        <v>424</v>
      </c>
      <c r="I110" s="7" t="s">
        <v>425</v>
      </c>
      <c r="L110" s="9" t="s">
        <v>229</v>
      </c>
      <c r="M110" s="29" t="s">
        <v>449</v>
      </c>
      <c r="N110" s="12" t="s">
        <v>413</v>
      </c>
      <c r="O110" s="12">
        <f>(7.1+11.4+7.8+16.7)/(100-36.1)</f>
        <v>0.67292644757433495</v>
      </c>
      <c r="P110" s="12">
        <v>0.7</v>
      </c>
      <c r="Q110" s="12">
        <v>8.18</v>
      </c>
      <c r="R110" s="12" t="s">
        <v>450</v>
      </c>
      <c r="S110" s="12" t="s">
        <v>54</v>
      </c>
      <c r="T110" s="12" t="s">
        <v>281</v>
      </c>
      <c r="U110" s="12" t="s">
        <v>451</v>
      </c>
      <c r="V110" s="33">
        <v>2.093</v>
      </c>
      <c r="W110" s="12">
        <v>0.28399999999999997</v>
      </c>
      <c r="X110" s="12">
        <v>7220</v>
      </c>
      <c r="Y110" s="12">
        <v>79.7</v>
      </c>
      <c r="Z110" s="12">
        <v>3.7</v>
      </c>
      <c r="AA110" s="12">
        <v>1.7430000000000001</v>
      </c>
      <c r="AB110" s="12">
        <v>0.27100000000000002</v>
      </c>
      <c r="AC110" s="12">
        <v>46.9</v>
      </c>
      <c r="AD110" s="12" t="s">
        <v>54</v>
      </c>
      <c r="AE110" s="12">
        <v>45.558</v>
      </c>
      <c r="AF110" s="12">
        <v>8.27</v>
      </c>
      <c r="AG110" s="12" t="s">
        <v>452</v>
      </c>
    </row>
    <row r="111" spans="1:37">
      <c r="A111" s="13" t="s">
        <v>38</v>
      </c>
      <c r="B111" s="14" t="s">
        <v>39</v>
      </c>
      <c r="C111" s="1" t="s">
        <v>453</v>
      </c>
      <c r="D111" s="1" t="s">
        <v>453</v>
      </c>
      <c r="E111" s="20" t="s">
        <v>423</v>
      </c>
      <c r="F111" s="1" t="s">
        <v>453</v>
      </c>
      <c r="G111" s="7" t="s">
        <v>424</v>
      </c>
      <c r="I111" s="7" t="s">
        <v>425</v>
      </c>
      <c r="L111" s="9" t="s">
        <v>229</v>
      </c>
      <c r="M111" s="29" t="s">
        <v>449</v>
      </c>
      <c r="N111" s="12" t="s">
        <v>273</v>
      </c>
      <c r="O111" s="12">
        <f>(72.2+10.2)/(100-0.2)</f>
        <v>0.82565130260521047</v>
      </c>
      <c r="P111" s="12">
        <v>0.5</v>
      </c>
      <c r="Q111" s="12">
        <v>13.76</v>
      </c>
      <c r="R111" s="12" t="s">
        <v>454</v>
      </c>
      <c r="S111" s="12" t="s">
        <v>455</v>
      </c>
      <c r="T111" s="12" t="s">
        <v>281</v>
      </c>
      <c r="U111" s="12" t="s">
        <v>456</v>
      </c>
      <c r="V111" s="33">
        <v>1.7689999999999999</v>
      </c>
      <c r="W111" s="12">
        <v>0.16</v>
      </c>
      <c r="X111" s="12">
        <v>14835</v>
      </c>
      <c r="Y111" s="12">
        <v>99.7</v>
      </c>
      <c r="Z111" s="12">
        <v>4.5999999999999996</v>
      </c>
      <c r="AA111" s="12">
        <v>1.4330000000000001</v>
      </c>
      <c r="AB111" s="12">
        <v>0.19400000000000001</v>
      </c>
      <c r="AC111" s="12">
        <v>65.8</v>
      </c>
      <c r="AD111" s="12" t="s">
        <v>54</v>
      </c>
      <c r="AE111" s="12">
        <v>16.87</v>
      </c>
      <c r="AF111" s="12">
        <v>5.7</v>
      </c>
      <c r="AG111" s="12" t="s">
        <v>457</v>
      </c>
    </row>
    <row r="112" spans="1:37">
      <c r="B112" s="14"/>
      <c r="M112" s="33" t="s">
        <v>458</v>
      </c>
      <c r="N112" s="12" t="s">
        <v>273</v>
      </c>
      <c r="O112" s="12">
        <f>(82.2)/(100-0.2)</f>
        <v>0.8236472945891784</v>
      </c>
      <c r="P112" s="12">
        <v>0.6</v>
      </c>
      <c r="Q112" s="12">
        <v>14.58</v>
      </c>
      <c r="R112" s="12" t="s">
        <v>286</v>
      </c>
      <c r="S112" s="12" t="s">
        <v>286</v>
      </c>
      <c r="T112" s="12" t="s">
        <v>104</v>
      </c>
      <c r="U112" s="12" t="s">
        <v>459</v>
      </c>
      <c r="V112" s="33">
        <v>1.796</v>
      </c>
      <c r="W112" s="12">
        <v>0.161</v>
      </c>
      <c r="X112" s="12">
        <v>27173</v>
      </c>
      <c r="Y112" s="12">
        <v>99.3</v>
      </c>
      <c r="Z112" s="12">
        <v>3.5</v>
      </c>
      <c r="AA112" s="12">
        <v>1.4490000000000001</v>
      </c>
      <c r="AB112" s="12">
        <v>0.17199999999999999</v>
      </c>
      <c r="AC112" s="12">
        <v>58.8</v>
      </c>
      <c r="AD112" s="12">
        <v>41.7</v>
      </c>
      <c r="AE112" s="12">
        <v>50.046999999999997</v>
      </c>
      <c r="AF112" s="12">
        <v>6.2759999999999998</v>
      </c>
      <c r="AG112" s="12" t="s">
        <v>460</v>
      </c>
      <c r="AH112" s="12" t="s">
        <v>461</v>
      </c>
      <c r="AI112" s="12">
        <v>367.35</v>
      </c>
      <c r="AJ112" s="12">
        <v>13.3</v>
      </c>
      <c r="AK112" s="12" t="s">
        <v>410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Prasadika Samarawickrama Hetti Arachchige</dc:creator>
  <cp:keywords/>
  <dc:description/>
  <cp:lastModifiedBy>David Bennett</cp:lastModifiedBy>
  <cp:revision/>
  <dcterms:created xsi:type="dcterms:W3CDTF">2025-10-20T18:03:05Z</dcterms:created>
  <dcterms:modified xsi:type="dcterms:W3CDTF">2026-07-13T18:55:11Z</dcterms:modified>
  <cp:category/>
  <cp:contentStatus/>
</cp:coreProperties>
</file>