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onoru129\Downloads\"/>
    </mc:Choice>
  </mc:AlternateContent>
  <xr:revisionPtr revIDLastSave="1644" documentId="13_ncr:1_{4EB24340-D170-4F19-B664-79443B287054}" xr6:coauthVersionLast="47" xr6:coauthVersionMax="47" xr10:uidLastSave="{DBF746D1-4532-4F49-94D6-2FDA631A214C}"/>
  <bookViews>
    <workbookView xWindow="28680" yWindow="1725" windowWidth="29040" windowHeight="15720" tabRatio="500" xr2:uid="{00000000-000D-0000-FFFF-FFFF00000000}"/>
  </bookViews>
  <sheets>
    <sheet name="Sheet1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75" i="1" l="1"/>
  <c r="Z107" i="1"/>
  <c r="Z105" i="1"/>
  <c r="Z106" i="1"/>
  <c r="Z104" i="1"/>
  <c r="Z100" i="1"/>
  <c r="Z101" i="1"/>
  <c r="Z102" i="1"/>
  <c r="Z103" i="1"/>
  <c r="Q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Miles Bradford</author>
  </authors>
  <commentList>
    <comment ref="I27" authorId="0" shapeId="0" xr:uid="{336369E1-01CA-48AD-8595-FB137F32B0DF}">
      <text>
        <r>
          <rPr>
            <sz val="10"/>
            <rFont val="Arial"/>
            <family val="2"/>
            <charset val="1"/>
          </rPr>
          <t>Miles Bradford:
Magnesium Sulfate
Sodium Acetate
pH 5
--------------------------
12.00 uL 2.5 M
MgSO4 hydrate
5.00 uL 1 M Sodium acetate trihydrate pH 5.0
33.00 uL H2O</t>
        </r>
      </text>
    </comment>
  </commentList>
</comments>
</file>

<file path=xl/sharedStrings.xml><?xml version="1.0" encoding="utf-8"?>
<sst xmlns="http://schemas.openxmlformats.org/spreadsheetml/2006/main" count="1990" uniqueCount="918">
  <si>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</si>
  <si>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</si>
  <si>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</si>
  <si>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</si>
  <si>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</si>
  <si>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</si>
  <si>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</si>
  <si>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</si>
  <si>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</si>
  <si>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Compound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</si>
  <si>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</si>
  <si>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</si>
  <si>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</si>
  <si>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</si>
  <si>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</si>
  <si>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</si>
  <si>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</si>
  <si>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</si>
  <si>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</si>
  <si>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</si>
  <si>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</si>
  <si>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</si>
  <si>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</si>
  <si>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</si>
  <si>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norm to symmetry</t>
  </si>
  <si>
    <t>iso overall % completeness</t>
  </si>
  <si>
    <t>iso overall redundancy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</si>
  <si>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</si>
  <si>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</si>
  <si>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</si>
  <si>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</si>
  <si>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</si>
  <si>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</si>
  <si>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searched for?</t>
  </si>
  <si>
    <t>LLG</t>
  </si>
  <si>
    <t>TFZ</t>
  </si>
  <si>
    <t>fit to dens</t>
  </si>
  <si>
    <t>poly seen, termini match?</t>
  </si>
  <si>
    <t>SSRL00268</t>
  </si>
  <si>
    <t>cassette</t>
  </si>
  <si>
    <t>A1</t>
  </si>
  <si>
    <t>Please place barcode pin in this port</t>
  </si>
  <si>
    <t>green highlight means collected dataset</t>
  </si>
  <si>
    <t>A2</t>
  </si>
  <si>
    <t>2Trig-10xHis-1TEL-SR-UBA</t>
  </si>
  <si>
    <t>elongated teardrop plates</t>
  </si>
  <si>
    <t>PEG Ion F10 20mg/mL</t>
  </si>
  <si>
    <t>Jacob</t>
  </si>
  <si>
    <t>no crystal</t>
  </si>
  <si>
    <t>A3</t>
  </si>
  <si>
    <t>A3 (data in A3CollectFixed)</t>
  </si>
  <si>
    <t>ice rings, 2.5A vis</t>
  </si>
  <si>
    <t>Error in autoproc</t>
  </si>
  <si>
    <t>A4</t>
  </si>
  <si>
    <t>ice rings, 1.90 A autoproc</t>
  </si>
  <si>
    <t>okay</t>
  </si>
  <si>
    <t>0.673</t>
  </si>
  <si>
    <t>0.3</t>
  </si>
  <si>
    <t>13.90</t>
  </si>
  <si>
    <t>none</t>
  </si>
  <si>
    <t>C 1 2 1</t>
  </si>
  <si>
    <t>126.935 77.487 38.342 90.000 106.989 90.000</t>
  </si>
  <si>
    <t xml:space="preserve">2.017 </t>
  </si>
  <si>
    <t>0.130</t>
  </si>
  <si>
    <t>21843</t>
  </si>
  <si>
    <t xml:space="preserve">93.1 </t>
  </si>
  <si>
    <t xml:space="preserve">5.1 </t>
  </si>
  <si>
    <t>1.843</t>
  </si>
  <si>
    <t>0.118</t>
  </si>
  <si>
    <t xml:space="preserve">61.9 </t>
  </si>
  <si>
    <t>2.043</t>
  </si>
  <si>
    <t xml:space="preserve">2.301 </t>
  </si>
  <si>
    <t xml:space="preserve">1.774 </t>
  </si>
  <si>
    <t>407.913</t>
  </si>
  <si>
    <t>15.6</t>
  </si>
  <si>
    <t>decent</t>
  </si>
  <si>
    <t>Forced to P222 but came with P1</t>
  </si>
  <si>
    <t>0.4</t>
  </si>
  <si>
    <t>15.35</t>
  </si>
  <si>
    <t>P1</t>
  </si>
  <si>
    <t>38.327 74.248 74.375 62.808 75.595 75.511</t>
  </si>
  <si>
    <t xml:space="preserve">2.087 </t>
  </si>
  <si>
    <t xml:space="preserve">0.120 </t>
  </si>
  <si>
    <t>36231</t>
  </si>
  <si>
    <t xml:space="preserve">87.3 </t>
  </si>
  <si>
    <t xml:space="preserve">3.0 </t>
  </si>
  <si>
    <t>1.955</t>
  </si>
  <si>
    <t>0.103</t>
  </si>
  <si>
    <t xml:space="preserve">56.5 </t>
  </si>
  <si>
    <t xml:space="preserve">1.842 </t>
  </si>
  <si>
    <t xml:space="preserve">2.550 </t>
  </si>
  <si>
    <t xml:space="preserve">2.169 </t>
  </si>
  <si>
    <t>Forced to P6 but came out in P1</t>
  </si>
  <si>
    <t>38.431    74.447    74.571  62.777  75.581  75.514</t>
  </si>
  <si>
    <t>Forced to P2 but came out in P1</t>
  </si>
  <si>
    <t>A5</t>
  </si>
  <si>
    <t>Miles</t>
  </si>
  <si>
    <t>some ice , very low diffraction</t>
  </si>
  <si>
    <t xml:space="preserve">No directory </t>
  </si>
  <si>
    <t>A6</t>
  </si>
  <si>
    <t>empty loop</t>
  </si>
  <si>
    <t>A7</t>
  </si>
  <si>
    <t>10xHis-1TEL-SR-UBA</t>
  </si>
  <si>
    <t>lot of ice. 4 A</t>
  </si>
  <si>
    <t>poor</t>
  </si>
  <si>
    <t>0.235</t>
  </si>
  <si>
    <t>13.33</t>
  </si>
  <si>
    <t>606</t>
  </si>
  <si>
    <t>C2</t>
  </si>
  <si>
    <t>128.476 77.598 38.714 90.000 107.359 90.000</t>
  </si>
  <si>
    <t>2.105</t>
  </si>
  <si>
    <t>0.159</t>
  </si>
  <si>
    <t>19085</t>
  </si>
  <si>
    <t>90.5</t>
  </si>
  <si>
    <t>4.5</t>
  </si>
  <si>
    <t>1.798</t>
  </si>
  <si>
    <t>0.172</t>
  </si>
  <si>
    <t>63.7</t>
  </si>
  <si>
    <t xml:space="preserve">1.739 </t>
  </si>
  <si>
    <t>1.928</t>
  </si>
  <si>
    <t>1.886</t>
  </si>
  <si>
    <t>A8</t>
  </si>
  <si>
    <t>B1</t>
  </si>
  <si>
    <t>B2</t>
  </si>
  <si>
    <t>no ice, no diffraction, small crystal</t>
  </si>
  <si>
    <t>B3</t>
  </si>
  <si>
    <t>bent loop</t>
  </si>
  <si>
    <t>B4</t>
  </si>
  <si>
    <t>B5</t>
  </si>
  <si>
    <t>D4</t>
  </si>
  <si>
    <t xml:space="preserve"> </t>
  </si>
  <si>
    <t>B6</t>
  </si>
  <si>
    <t>hexagonal Plates</t>
  </si>
  <si>
    <t>Fragment, D5</t>
  </si>
  <si>
    <t>Optimization C2 15mg/mL</t>
  </si>
  <si>
    <t>some ice, 3A</t>
  </si>
  <si>
    <t>.605</t>
  </si>
  <si>
    <t>0.2</t>
  </si>
  <si>
    <t>28.39</t>
  </si>
  <si>
    <t>198</t>
  </si>
  <si>
    <t>P212121</t>
  </si>
  <si>
    <t>38.259 79.125 119.458 90.0 90.0 90.0</t>
  </si>
  <si>
    <t>2.095</t>
  </si>
  <si>
    <t>0.090</t>
  </si>
  <si>
    <t>21257</t>
  </si>
  <si>
    <t>96.3</t>
  </si>
  <si>
    <t>11.0</t>
  </si>
  <si>
    <t>1.981</t>
  </si>
  <si>
    <t>0.091</t>
  </si>
  <si>
    <t>83.0</t>
  </si>
  <si>
    <t>2.064</t>
  </si>
  <si>
    <t>1.998</t>
  </si>
  <si>
    <t>2.015</t>
  </si>
  <si>
    <t>B7</t>
  </si>
  <si>
    <t>No Cryo, largest crystal</t>
  </si>
  <si>
    <t>2.31A xds, not great diffraction</t>
  </si>
  <si>
    <t>autoproc failure</t>
  </si>
  <si>
    <t>B8</t>
  </si>
  <si>
    <t>xds failed, poor diffraction</t>
  </si>
  <si>
    <t>0.9944</t>
  </si>
  <si>
    <t>14.95</t>
  </si>
  <si>
    <t>37.912 78.489 118.962 90.0 90.0 90.0</t>
  </si>
  <si>
    <t>2.016</t>
  </si>
  <si>
    <t>0.123</t>
  </si>
  <si>
    <t>24182</t>
  </si>
  <si>
    <t>99.8</t>
  </si>
  <si>
    <t>12.7</t>
  </si>
  <si>
    <t>1.919</t>
  </si>
  <si>
    <t>0.121</t>
  </si>
  <si>
    <t>82.8</t>
  </si>
  <si>
    <t>2.012</t>
  </si>
  <si>
    <t>2.057</t>
  </si>
  <si>
    <t>B8-2</t>
  </si>
  <si>
    <t>2.17A xds</t>
  </si>
  <si>
    <t>okay, some smearing</t>
  </si>
  <si>
    <t>0.9533</t>
  </si>
  <si>
    <t>0.25</t>
  </si>
  <si>
    <t>13.69</t>
  </si>
  <si>
    <t>try deleting 700-1200 and run again</t>
  </si>
  <si>
    <t>38.163 78.376 119.185 90.0 90.0 90.0</t>
  </si>
  <si>
    <t>2.187</t>
  </si>
  <si>
    <t>17776</t>
  </si>
  <si>
    <t>92.5</t>
  </si>
  <si>
    <t>8.2</t>
  </si>
  <si>
    <t>2.033</t>
  </si>
  <si>
    <t>0.117</t>
  </si>
  <si>
    <t>71.4</t>
  </si>
  <si>
    <t>2.118</t>
  </si>
  <si>
    <t>2.302</t>
  </si>
  <si>
    <t>2.010</t>
  </si>
  <si>
    <t>C1</t>
  </si>
  <si>
    <t>No Cryo, single layer</t>
  </si>
  <si>
    <t>xds 1.69, ISa &gt;13</t>
  </si>
  <si>
    <t>very smeary</t>
  </si>
  <si>
    <t>0.0399</t>
  </si>
  <si>
    <t>5.94</t>
  </si>
  <si>
    <t>78.447 120.100 38.234 90.0 90.0 90.0</t>
  </si>
  <si>
    <t>2.764</t>
  </si>
  <si>
    <t>0.300</t>
  </si>
  <si>
    <t>9572</t>
  </si>
  <si>
    <t>97.7</t>
  </si>
  <si>
    <t>12.3</t>
  </si>
  <si>
    <t>2.204</t>
  </si>
  <si>
    <t>0.304</t>
  </si>
  <si>
    <t>64.4</t>
  </si>
  <si>
    <t>2.495</t>
  </si>
  <si>
    <t>2.198</t>
  </si>
  <si>
    <t>2.394</t>
  </si>
  <si>
    <t>C3</t>
  </si>
  <si>
    <t>Single layer, fragment, no cryo</t>
  </si>
  <si>
    <t>no ice 1.98 A xds</t>
  </si>
  <si>
    <t>0.5416</t>
  </si>
  <si>
    <t>0.17</t>
  </si>
  <si>
    <t>19.69</t>
  </si>
  <si>
    <t>38.108 78.015 119.377 90.0 90.0 90.0</t>
  </si>
  <si>
    <t>2.046</t>
  </si>
  <si>
    <t>0.078</t>
  </si>
  <si>
    <t>18006</t>
  </si>
  <si>
    <t>77.5</t>
  </si>
  <si>
    <t>11.6</t>
  </si>
  <si>
    <t>1.995</t>
  </si>
  <si>
    <t>0.082</t>
  </si>
  <si>
    <t>70.9</t>
  </si>
  <si>
    <t>2.036</t>
  </si>
  <si>
    <t>1.974</t>
  </si>
  <si>
    <t>2.058</t>
  </si>
  <si>
    <t>338.345</t>
  </si>
  <si>
    <t>16.0</t>
  </si>
  <si>
    <t>C4</t>
  </si>
  <si>
    <t>Fragment, no cryo</t>
  </si>
  <si>
    <t>C5</t>
  </si>
  <si>
    <t>Fragment, cryo, mostly single-layer</t>
  </si>
  <si>
    <t>no ice 2.04 xds</t>
  </si>
  <si>
    <t>0.9679</t>
  </si>
  <si>
    <t>20.50</t>
  </si>
  <si>
    <t>38.004 77.854 118.995 90.0 90.0 90.0</t>
  </si>
  <si>
    <t>0.097</t>
  </si>
  <si>
    <t>18787</t>
  </si>
  <si>
    <t>76</t>
  </si>
  <si>
    <t>11</t>
  </si>
  <si>
    <t>2.071</t>
  </si>
  <si>
    <t>0.095</t>
  </si>
  <si>
    <t>75.8</t>
  </si>
  <si>
    <t>2.030</t>
  </si>
  <si>
    <t>2.174</t>
  </si>
  <si>
    <t>2.103</t>
  </si>
  <si>
    <t>81.270</t>
  </si>
  <si>
    <t>5.8</t>
  </si>
  <si>
    <t>C6</t>
  </si>
  <si>
    <t>No cryo, didn't blow, mostly single layer</t>
  </si>
  <si>
    <t>(see note) Optimization C2 15mg/mL</t>
  </si>
  <si>
    <t>1.89 xds</t>
  </si>
  <si>
    <t>0.5490</t>
  </si>
  <si>
    <t>0.225</t>
  </si>
  <si>
    <t>24.36</t>
  </si>
  <si>
    <t>P222</t>
  </si>
  <si>
    <t>37.835 77.147 117.660 90.0 90.0 90.0</t>
  </si>
  <si>
    <t>2.038</t>
  </si>
  <si>
    <t>19070</t>
  </si>
  <si>
    <t>83.6</t>
  </si>
  <si>
    <t>13.2</t>
  </si>
  <si>
    <t>1.908</t>
  </si>
  <si>
    <t>0.089</t>
  </si>
  <si>
    <t>68.8</t>
  </si>
  <si>
    <t>1.934</t>
  </si>
  <si>
    <t>1.836</t>
  </si>
  <si>
    <t>2.093</t>
  </si>
  <si>
    <t>338.366</t>
  </si>
  <si>
    <t>14.7</t>
  </si>
  <si>
    <t>C6 #2??</t>
  </si>
  <si>
    <t>C7</t>
  </si>
  <si>
    <t>2Trig-10xhis-1TEL-SR-UBA</t>
  </si>
  <si>
    <t>hexagonal plates</t>
  </si>
  <si>
    <t>Beautiful, cryo, blew</t>
  </si>
  <si>
    <t>Optimization E8 15 mg/mL</t>
  </si>
  <si>
    <t>2.05A xds</t>
  </si>
  <si>
    <t>smeary</t>
  </si>
  <si>
    <t>0.9878</t>
  </si>
  <si>
    <t>20.68</t>
  </si>
  <si>
    <t>37.994 78.515 119.095 90.0 90.0 90.0</t>
  </si>
  <si>
    <t>2.207</t>
  </si>
  <si>
    <t>0.166</t>
  </si>
  <si>
    <t>18611</t>
  </si>
  <si>
    <t>99.9</t>
  </si>
  <si>
    <t>11.7</t>
  </si>
  <si>
    <t>1.976</t>
  </si>
  <si>
    <t>0.156</t>
  </si>
  <si>
    <t>68.2</t>
  </si>
  <si>
    <t>1.966</t>
  </si>
  <si>
    <t>2.326</t>
  </si>
  <si>
    <t>2.299</t>
  </si>
  <si>
    <t>C7-2</t>
  </si>
  <si>
    <t>2.00A xds</t>
  </si>
  <si>
    <t>0.9850</t>
  </si>
  <si>
    <t>17.28</t>
  </si>
  <si>
    <t>37.955 78.187 118.460 90.0 90.0 90.0</t>
  </si>
  <si>
    <t>2.097</t>
  </si>
  <si>
    <t>21427</t>
  </si>
  <si>
    <t>1.987</t>
  </si>
  <si>
    <t>0.134</t>
  </si>
  <si>
    <t>89.7</t>
  </si>
  <si>
    <t>1.952</t>
  </si>
  <si>
    <t>2.048</t>
  </si>
  <si>
    <t>C7-3</t>
  </si>
  <si>
    <t>2.08A xds</t>
  </si>
  <si>
    <t>0.9943</t>
  </si>
  <si>
    <t>13.83</t>
  </si>
  <si>
    <t>37.914 78.366 118.550 90.0 90.0 90.0</t>
  </si>
  <si>
    <t>2.179</t>
  </si>
  <si>
    <t>0.187</t>
  </si>
  <si>
    <t>19159</t>
  </si>
  <si>
    <t>8.4</t>
  </si>
  <si>
    <t>71.9</t>
  </si>
  <si>
    <t>2.000</t>
  </si>
  <si>
    <t>2.266</t>
  </si>
  <si>
    <t>2.277</t>
  </si>
  <si>
    <t>C8</t>
  </si>
  <si>
    <t>Best crystal we've had in this study, cryo, blew</t>
  </si>
  <si>
    <t>3.03A xds</t>
  </si>
  <si>
    <t>0.5470</t>
  </si>
  <si>
    <t>18.95</t>
  </si>
  <si>
    <t>P21</t>
  </si>
  <si>
    <t>66.516 37.787 78.726 90.0 114.704 90.0</t>
  </si>
  <si>
    <t>1.954</t>
  </si>
  <si>
    <t>0.116</t>
  </si>
  <si>
    <t>23984</t>
  </si>
  <si>
    <t>91.4</t>
  </si>
  <si>
    <t>6.9</t>
  </si>
  <si>
    <t>1.907</t>
  </si>
  <si>
    <t>0.108</t>
  </si>
  <si>
    <t>1.869</t>
  </si>
  <si>
    <t>1.973</t>
  </si>
  <si>
    <t>2.040</t>
  </si>
  <si>
    <t>299.140</t>
  </si>
  <si>
    <t>10.5</t>
  </si>
  <si>
    <t>ok</t>
  </si>
  <si>
    <t>D1</t>
  </si>
  <si>
    <t>no cryo-protectant, blew</t>
  </si>
  <si>
    <t>1.87A xds</t>
  </si>
  <si>
    <t>0.6518</t>
  </si>
  <si>
    <t>0.24</t>
  </si>
  <si>
    <t>22.42</t>
  </si>
  <si>
    <t>38.475 78.171 119.362 90.0 90.0 90.0</t>
  </si>
  <si>
    <t>2.294</t>
  </si>
  <si>
    <t>16188</t>
  </si>
  <si>
    <t>2.175</t>
  </si>
  <si>
    <t>80.0</t>
  </si>
  <si>
    <t>2.372</t>
  </si>
  <si>
    <t>.2.265</t>
  </si>
  <si>
    <t>2.128</t>
  </si>
  <si>
    <t>307.137</t>
  </si>
  <si>
    <t>16.2</t>
  </si>
  <si>
    <t>D2</t>
  </si>
  <si>
    <t>1.94 A xds</t>
  </si>
  <si>
    <t>0.4565</t>
  </si>
  <si>
    <t>0.26</t>
  </si>
  <si>
    <t>15.86</t>
  </si>
  <si>
    <t>38.425 78.433 119.237 90.0 90.0 90.0</t>
  </si>
  <si>
    <t>2.293</t>
  </si>
  <si>
    <t>0.100</t>
  </si>
  <si>
    <t>16199</t>
  </si>
  <si>
    <t>96.1</t>
  </si>
  <si>
    <t>12.8</t>
  </si>
  <si>
    <t>2.205</t>
  </si>
  <si>
    <t>0.101</t>
  </si>
  <si>
    <t>85.6</t>
  </si>
  <si>
    <t>2.235</t>
  </si>
  <si>
    <t>2.227</t>
  </si>
  <si>
    <t>2.226</t>
  </si>
  <si>
    <t>D3</t>
  </si>
  <si>
    <t>Broken loop</t>
  </si>
  <si>
    <t>Cryo, blew, dropped into the large nitrogen container but recovered</t>
  </si>
  <si>
    <t>2.16 A xds</t>
  </si>
  <si>
    <t>0.9838</t>
  </si>
  <si>
    <t>16.13</t>
  </si>
  <si>
    <t>38.320 79.072 119.340 90.0 90.0 90.0</t>
  </si>
  <si>
    <t>2.298</t>
  </si>
  <si>
    <t>16844</t>
  </si>
  <si>
    <t>13.3</t>
  </si>
  <si>
    <t>2.223</t>
  </si>
  <si>
    <t>0.154</t>
  </si>
  <si>
    <t>89,9</t>
  </si>
  <si>
    <t>D5</t>
  </si>
  <si>
    <t>No Cryo, blew</t>
  </si>
  <si>
    <t>Blake</t>
  </si>
  <si>
    <t>Poor spots (too many crystals in the loop)</t>
  </si>
  <si>
    <t>0.15</t>
  </si>
  <si>
    <t>16.45</t>
  </si>
  <si>
    <t>38.124 78.010 118.770 90.0 90.0 90.0</t>
  </si>
  <si>
    <t>2.413</t>
  </si>
  <si>
    <t>0.188</t>
  </si>
  <si>
    <t>14180</t>
  </si>
  <si>
    <t>99.4</t>
  </si>
  <si>
    <t>2.291</t>
  </si>
  <si>
    <t>0.194</t>
  </si>
  <si>
    <t>88.1</t>
  </si>
  <si>
    <t>2.261</t>
  </si>
  <si>
    <t>2.248</t>
  </si>
  <si>
    <t>2.471</t>
  </si>
  <si>
    <t>D6</t>
  </si>
  <si>
    <t>Cryo, blew</t>
  </si>
  <si>
    <t>1.75A xds</t>
  </si>
  <si>
    <t>okay, blurry</t>
  </si>
  <si>
    <t>0.9936</t>
  </si>
  <si>
    <t>25.32</t>
  </si>
  <si>
    <t>38.213 79.367 119.173 90.0 90.0 90.0</t>
  </si>
  <si>
    <t>1.964</t>
  </si>
  <si>
    <t>0.137</t>
  </si>
  <si>
    <t>26655</t>
  </si>
  <si>
    <t>11.1</t>
  </si>
  <si>
    <t>1.878</t>
  </si>
  <si>
    <t>0.142</t>
  </si>
  <si>
    <t>89.6</t>
  </si>
  <si>
    <t>1.926</t>
  </si>
  <si>
    <t>1.876</t>
  </si>
  <si>
    <t>1.922</t>
  </si>
  <si>
    <t>388.360</t>
  </si>
  <si>
    <t>16.4</t>
  </si>
  <si>
    <t>good</t>
  </si>
  <si>
    <t>D7</t>
  </si>
  <si>
    <t>No Cryo, blew, may have contaminants in the loop</t>
  </si>
  <si>
    <t>Very poor spots, too many crystal fragments</t>
  </si>
  <si>
    <t>D8</t>
  </si>
  <si>
    <t>Highly ridged xtal, very poor spots</t>
  </si>
  <si>
    <t>E1</t>
  </si>
  <si>
    <t>3TF-UBA(SUMO) (3 step cryo) 0.8 mg/mL</t>
  </si>
  <si>
    <t>THIN RODS</t>
  </si>
  <si>
    <t>SaltRX A4-3</t>
  </si>
  <si>
    <t>256 / 240</t>
  </si>
  <si>
    <t>Dr. Moody</t>
  </si>
  <si>
    <t>2.06A xds, collection aborted??</t>
  </si>
  <si>
    <t>E1-2</t>
  </si>
  <si>
    <t>2.07A xds</t>
  </si>
  <si>
    <t>not many spots</t>
  </si>
  <si>
    <t>0.9840</t>
  </si>
  <si>
    <t>11.14</t>
  </si>
  <si>
    <t>try removing 200-400 and run again</t>
  </si>
  <si>
    <t>55.061 65.491 112.726 90.0 90.0 90.0</t>
  </si>
  <si>
    <t>2.004</t>
  </si>
  <si>
    <t>5.343</t>
  </si>
  <si>
    <t>28033</t>
  </si>
  <si>
    <t>99.7</t>
  </si>
  <si>
    <t>2.059</t>
  </si>
  <si>
    <t>0.642</t>
  </si>
  <si>
    <t>60.4</t>
  </si>
  <si>
    <t>2.652</t>
  </si>
  <si>
    <t>2.540</t>
  </si>
  <si>
    <t>1.971</t>
  </si>
  <si>
    <t>rescaled in P1</t>
  </si>
  <si>
    <t>0.9841</t>
  </si>
  <si>
    <t>10.2</t>
  </si>
  <si>
    <t>55.061 65.396 112.745 89.894 89.950 89.914</t>
  </si>
  <si>
    <t>3.038</t>
  </si>
  <si>
    <t>0.269</t>
  </si>
  <si>
    <t>27591</t>
  </si>
  <si>
    <t>3.0</t>
  </si>
  <si>
    <t>2.364</t>
  </si>
  <si>
    <t>0.332</t>
  </si>
  <si>
    <t>49.2</t>
  </si>
  <si>
    <t>2.792</t>
  </si>
  <si>
    <t>3.285</t>
  </si>
  <si>
    <t>2.373</t>
  </si>
  <si>
    <t>rescaled in P2</t>
  </si>
  <si>
    <t>9</t>
  </si>
  <si>
    <t>P2</t>
  </si>
  <si>
    <t>65.434 55.050 112.695 90.000 90.077 90.00</t>
  </si>
  <si>
    <t>2.874</t>
  </si>
  <si>
    <t>0.360</t>
  </si>
  <si>
    <t>18228</t>
  </si>
  <si>
    <t>98.3</t>
  </si>
  <si>
    <t>5.3</t>
  </si>
  <si>
    <t>2.101</t>
  </si>
  <si>
    <t>0.596</t>
  </si>
  <si>
    <t>51.6</t>
  </si>
  <si>
    <t>2.789</t>
  </si>
  <si>
    <t>2.757</t>
  </si>
  <si>
    <t>2.075</t>
  </si>
  <si>
    <t>Deposited in wwPDB</t>
  </si>
  <si>
    <t>frames removed and run with no SG</t>
  </si>
  <si>
    <t>0.9792</t>
  </si>
  <si>
    <t>0.11</t>
  </si>
  <si>
    <t>22.74</t>
  </si>
  <si>
    <t>200-600, 900-1800</t>
  </si>
  <si>
    <t>55.1518 65.5401 112.9021 90.0 90.0 90.0</t>
  </si>
  <si>
    <t>2.244</t>
  </si>
  <si>
    <t>0.198</t>
  </si>
  <si>
    <t>19304</t>
  </si>
  <si>
    <t>95.2</t>
  </si>
  <si>
    <t>3.7</t>
  </si>
  <si>
    <t>2.088</t>
  </si>
  <si>
    <t>0.191</t>
  </si>
  <si>
    <t>57.9</t>
  </si>
  <si>
    <t>2.688</t>
  </si>
  <si>
    <t>2.521</t>
  </si>
  <si>
    <t>2.025</t>
  </si>
  <si>
    <t>frames removed and run forcing P1</t>
  </si>
  <si>
    <t>rescale in P2</t>
  </si>
  <si>
    <t>rescale in P1</t>
  </si>
  <si>
    <t>rm 200-400 and rescale in P212121</t>
  </si>
  <si>
    <t>rm 200-400 and rescale in P21</t>
  </si>
  <si>
    <t>rm 200-400 and rescale in no SG</t>
  </si>
  <si>
    <t>E2</t>
  </si>
  <si>
    <t>some ice, 6 A vis</t>
  </si>
  <si>
    <t>E3</t>
  </si>
  <si>
    <t>2.67 xds</t>
  </si>
  <si>
    <t>0.6129</t>
  </si>
  <si>
    <t>19.41</t>
  </si>
  <si>
    <t>try removing 900-1400 and run again</t>
  </si>
  <si>
    <t>65.244 55.103 112.744 90.0 90.029 90.0</t>
  </si>
  <si>
    <t>3.160</t>
  </si>
  <si>
    <t>0.501</t>
  </si>
  <si>
    <t>13079</t>
  </si>
  <si>
    <t>93.2</t>
  </si>
  <si>
    <t>2.138</t>
  </si>
  <si>
    <t>0.208</t>
  </si>
  <si>
    <t>41.1</t>
  </si>
  <si>
    <t>2.307</t>
  </si>
  <si>
    <t>2.801</t>
  </si>
  <si>
    <t>3.046</t>
  </si>
  <si>
    <t>rm 900-1400 and rescale in P21</t>
  </si>
  <si>
    <t>rm 900-1400 and rescale in no SG</t>
  </si>
  <si>
    <t>E4</t>
  </si>
  <si>
    <t>Maria</t>
  </si>
  <si>
    <t>ice, no diffraction</t>
  </si>
  <si>
    <t>E5</t>
  </si>
  <si>
    <t>3TF-UBA(SUMO) (1 step cryo) 0.8 mg/mL</t>
  </si>
  <si>
    <t>no diffraction</t>
  </si>
  <si>
    <t>E6</t>
  </si>
  <si>
    <t>??</t>
  </si>
  <si>
    <t>no directory?</t>
  </si>
  <si>
    <t>E7</t>
  </si>
  <si>
    <t>E8</t>
  </si>
  <si>
    <t>some ice, no diffraction</t>
  </si>
  <si>
    <t>F1</t>
  </si>
  <si>
    <t>3TR-UBA(SUMO) (1 step cryo) 20 mg/mL</t>
  </si>
  <si>
    <t>WHEAT BUNDLE</t>
  </si>
  <si>
    <t>PEG-Ion F1-3</t>
  </si>
  <si>
    <t>F2</t>
  </si>
  <si>
    <t>F3</t>
  </si>
  <si>
    <t>Eli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</si>
  <si>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</si>
  <si>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</si>
  <si>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</si>
  <si>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</si>
  <si>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</si>
  <si>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</si>
  <si>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</si>
  <si>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</si>
  <si>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</si>
  <si>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1TEL_WT</t>
  </si>
  <si>
    <t>hexagonal Rods</t>
  </si>
  <si>
    <t>PEG_CUSTOM D7-20mg</t>
  </si>
  <si>
    <t>skip these</t>
  </si>
  <si>
    <t>Josh</t>
  </si>
  <si>
    <t>ice, 2.8 A, not collected</t>
  </si>
  <si>
    <t>G5</t>
  </si>
  <si>
    <t>2.58 A xds</t>
  </si>
  <si>
    <t>some smearing</t>
  </si>
  <si>
    <t>0.0509</t>
  </si>
  <si>
    <t>0.27</t>
  </si>
  <si>
    <t>10.04</t>
  </si>
  <si>
    <t>C2221</t>
  </si>
  <si>
    <t>62.198 107.813 43.649 90.0 90.0 90.0</t>
  </si>
  <si>
    <t>2.562</t>
  </si>
  <si>
    <t>0.248</t>
  </si>
  <si>
    <t>4665</t>
  </si>
  <si>
    <t>93.5</t>
  </si>
  <si>
    <t>12.6</t>
  </si>
  <si>
    <t>rescale in P6</t>
  </si>
  <si>
    <t>rescale in P1 with P6 cell</t>
  </si>
  <si>
    <t>0.8</t>
  </si>
  <si>
    <t>23.47</t>
  </si>
  <si>
    <t>62.034 62.043 43.735 90.212 90.112 119.965</t>
  </si>
  <si>
    <t>2.45</t>
  </si>
  <si>
    <t>0.182</t>
  </si>
  <si>
    <t>17562</t>
  </si>
  <si>
    <t>84.9</t>
  </si>
  <si>
    <t>3.8</t>
  </si>
  <si>
    <t>0.124</t>
  </si>
  <si>
    <t>46.7</t>
  </si>
  <si>
    <t>2.404</t>
  </si>
  <si>
    <t>3.139</t>
  </si>
  <si>
    <t>cd</t>
  </si>
  <si>
    <t>rescale in C2</t>
  </si>
  <si>
    <t>9.74</t>
  </si>
  <si>
    <t>62.176 107.674 43.749 90.000 90.286 90.000</t>
  </si>
  <si>
    <t>2.447</t>
  </si>
  <si>
    <t xml:space="preserve">0.289 </t>
  </si>
  <si>
    <t>9891</t>
  </si>
  <si>
    <t xml:space="preserve">92.2 </t>
  </si>
  <si>
    <t>3.5</t>
  </si>
  <si>
    <t xml:space="preserve">2.299 </t>
  </si>
  <si>
    <t>0.224</t>
  </si>
  <si>
    <t>49.1</t>
  </si>
  <si>
    <t>2.579</t>
  </si>
  <si>
    <t>2.489</t>
  </si>
  <si>
    <t>3.018</t>
  </si>
  <si>
    <t>G6</t>
  </si>
  <si>
    <t>PEG_CUSTOM D6-20mg</t>
  </si>
  <si>
    <t>2.30 A xds</t>
  </si>
  <si>
    <t>0.0197</t>
  </si>
  <si>
    <t>0.200</t>
  </si>
  <si>
    <t>10.49</t>
  </si>
  <si>
    <t>P6322</t>
  </si>
  <si>
    <t>61.765 61.765 46.160 90.0 90.0 120.0</t>
  </si>
  <si>
    <t>0.267</t>
  </si>
  <si>
    <t>2099</t>
  </si>
  <si>
    <t>95.6</t>
  </si>
  <si>
    <t>36.2</t>
  </si>
  <si>
    <t>0.238</t>
  </si>
  <si>
    <t>81.7</t>
  </si>
  <si>
    <t>2.330</t>
  </si>
  <si>
    <t>2.337</t>
  </si>
  <si>
    <t>rescaled in C2</t>
  </si>
  <si>
    <t>18.82</t>
  </si>
  <si>
    <t>107.070 61.662 46.136 90.000 90.019 90.000</t>
  </si>
  <si>
    <t xml:space="preserve">2.334 </t>
  </si>
  <si>
    <t>11808</t>
  </si>
  <si>
    <t xml:space="preserve">91.5 </t>
  </si>
  <si>
    <t>7.2</t>
  </si>
  <si>
    <t>2.311</t>
  </si>
  <si>
    <t xml:space="preserve">64.8 </t>
  </si>
  <si>
    <t>2.729</t>
  </si>
  <si>
    <t>2.406</t>
  </si>
  <si>
    <t>0.35</t>
  </si>
  <si>
    <t>indexing failed</t>
  </si>
  <si>
    <t>0.16</t>
  </si>
  <si>
    <t>0.5</t>
  </si>
  <si>
    <t>22.61</t>
  </si>
  <si>
    <t>61.722 61.722 46.137 90.0 90.0 120.0</t>
  </si>
  <si>
    <t xml:space="preserve"> 2.3</t>
  </si>
  <si>
    <t>0.236</t>
  </si>
  <si>
    <t>4336</t>
  </si>
  <si>
    <t>95.5</t>
  </si>
  <si>
    <t>20.4</t>
  </si>
  <si>
    <t>2.308</t>
  </si>
  <si>
    <t>0.207</t>
  </si>
  <si>
    <t>79.6</t>
  </si>
  <si>
    <t>2.354</t>
  </si>
  <si>
    <t>G7</t>
  </si>
  <si>
    <t>2.46 A xds</t>
  </si>
  <si>
    <t>0.0438</t>
  </si>
  <si>
    <t>22.95</t>
  </si>
  <si>
    <t>P1211</t>
  </si>
  <si>
    <t>62.130   44.224   62.127  90.00 119.95  90.00</t>
  </si>
  <si>
    <t>2.548</t>
  </si>
  <si>
    <t>0.161</t>
  </si>
  <si>
    <t>8689</t>
  </si>
  <si>
    <t>89.0</t>
  </si>
  <si>
    <t>6.3</t>
  </si>
  <si>
    <t>2.410</t>
  </si>
  <si>
    <t>0.120</t>
  </si>
  <si>
    <t>53.4</t>
  </si>
  <si>
    <t>2.230</t>
  </si>
  <si>
    <t>2.648</t>
  </si>
  <si>
    <t>3.318</t>
  </si>
  <si>
    <t>0.347</t>
  </si>
  <si>
    <t>1.4</t>
  </si>
  <si>
    <t>13.53</t>
  </si>
  <si>
    <t>185.430 107.337 44.205 90.000 89.956 90.000</t>
  </si>
  <si>
    <t xml:space="preserve">2.873 </t>
  </si>
  <si>
    <t>0.176</t>
  </si>
  <si>
    <t>14011</t>
  </si>
  <si>
    <t xml:space="preserve">70.6 </t>
  </si>
  <si>
    <t>4.7</t>
  </si>
  <si>
    <t xml:space="preserve">2.702 </t>
  </si>
  <si>
    <t>0.151</t>
  </si>
  <si>
    <t>47.3</t>
  </si>
  <si>
    <t>3.329</t>
  </si>
  <si>
    <t>2.563</t>
  </si>
  <si>
    <t>2.671</t>
  </si>
  <si>
    <t>2.27</t>
  </si>
  <si>
    <t>1.2</t>
  </si>
  <si>
    <t>12.58</t>
  </si>
  <si>
    <t>107.271 107.271 44.205 90.0 90.0 120.0</t>
  </si>
  <si>
    <t>2.950</t>
  </si>
  <si>
    <t>0.204</t>
  </si>
  <si>
    <t>5151</t>
  </si>
  <si>
    <t>81.8</t>
  </si>
  <si>
    <t>11.3</t>
  </si>
  <si>
    <t>0.206</t>
  </si>
  <si>
    <t>54.8</t>
  </si>
  <si>
    <t>2.693</t>
  </si>
  <si>
    <t>2.837</t>
  </si>
  <si>
    <t>G8</t>
  </si>
  <si>
    <t>PEG_CUSTOM E6-20mg</t>
  </si>
  <si>
    <t>4.4 A, smeary</t>
  </si>
  <si>
    <t>H1</t>
  </si>
  <si>
    <t>3.3, not collected</t>
  </si>
  <si>
    <t>H2</t>
  </si>
  <si>
    <t>PEG_CUSTOM E7-20mg</t>
  </si>
  <si>
    <t>2.8 A vis (dataset in screening directory H2)</t>
  </si>
  <si>
    <t>0.777</t>
  </si>
  <si>
    <t>13.74</t>
  </si>
  <si>
    <t>106.674  185.149   46.935  90.00  90.08  90.00</t>
  </si>
  <si>
    <t>2.155</t>
  </si>
  <si>
    <t>0.226</t>
  </si>
  <si>
    <t>46262</t>
  </si>
  <si>
    <t>94.5</t>
  </si>
  <si>
    <t>6.6</t>
  </si>
  <si>
    <t>2.077</t>
  </si>
  <si>
    <t>60.7</t>
  </si>
  <si>
    <t>2.070</t>
  </si>
  <si>
    <t>2.363</t>
  </si>
  <si>
    <t>2.582</t>
  </si>
  <si>
    <t>0.78</t>
  </si>
  <si>
    <t>10.21</t>
  </si>
  <si>
    <t>106.768  106.768   46.933  90.00  90.00 120.00</t>
  </si>
  <si>
    <t>2.006</t>
  </si>
  <si>
    <t>0.254</t>
  </si>
  <si>
    <t>19704</t>
  </si>
  <si>
    <t>95.3</t>
  </si>
  <si>
    <t>18.2</t>
  </si>
  <si>
    <t>2.013</t>
  </si>
  <si>
    <t>0.214</t>
  </si>
  <si>
    <t>71.5</t>
  </si>
  <si>
    <t>2.037</t>
  </si>
  <si>
    <t>2.473</t>
  </si>
  <si>
    <t>H3</t>
  </si>
  <si>
    <t>4.1 A, smeary</t>
  </si>
  <si>
    <t>H4</t>
  </si>
  <si>
    <t>1TEL-SR-VPS34</t>
  </si>
  <si>
    <t>V-Shaped and Hexagonal crystals</t>
  </si>
  <si>
    <t>pH-NaOAc2-PEG G7 9.5mg</t>
  </si>
  <si>
    <t xml:space="preserve">Wisdom </t>
  </si>
  <si>
    <t>poor diffraction 11.02 vis</t>
  </si>
  <si>
    <t>H5</t>
  </si>
  <si>
    <t>H6</t>
  </si>
  <si>
    <t>pH-NaOAc2-PEG F8 9.5mg</t>
  </si>
  <si>
    <t>7.4 A vis</t>
  </si>
  <si>
    <t>H7</t>
  </si>
  <si>
    <t>8.3 A</t>
  </si>
  <si>
    <t>H8</t>
  </si>
  <si>
    <t>2Trig-10xHis-1TEL-SR-UBA (2)</t>
  </si>
  <si>
    <t>I1</t>
  </si>
  <si>
    <t>1TEL-vWA-DARPin (2)</t>
  </si>
  <si>
    <t>Long needle</t>
  </si>
  <si>
    <t>G9-2Peg Custom</t>
  </si>
  <si>
    <t>Prasadika</t>
  </si>
  <si>
    <t>Some ice, 15 A</t>
  </si>
  <si>
    <t>I2</t>
  </si>
  <si>
    <t xml:space="preserve">1TEL-vWA-DARPin </t>
  </si>
  <si>
    <t>Long rod</t>
  </si>
  <si>
    <t>H6-3 Peg Custom</t>
  </si>
  <si>
    <t xml:space="preserve">super icy </t>
  </si>
  <si>
    <t>I3</t>
  </si>
  <si>
    <t>F12-2 Peg Custom</t>
  </si>
  <si>
    <t>No diffraction</t>
  </si>
  <si>
    <t>I4</t>
  </si>
  <si>
    <t xml:space="preserve">no ice, 4.29 A xds </t>
  </si>
  <si>
    <t>a little smeary</t>
  </si>
  <si>
    <t>0.075</t>
  </si>
  <si>
    <t>7.97</t>
  </si>
  <si>
    <t>P6</t>
  </si>
  <si>
    <t>141.224 141.224 68.327 90.0 90.0 120.0</t>
  </si>
  <si>
    <t xml:space="preserve">4.775 </t>
  </si>
  <si>
    <t>0.263</t>
  </si>
  <si>
    <t xml:space="preserve">3989 </t>
  </si>
  <si>
    <t xml:space="preserve">99.9 </t>
  </si>
  <si>
    <t>20.8</t>
  </si>
  <si>
    <t>3.974</t>
  </si>
  <si>
    <t>0.181</t>
  </si>
  <si>
    <t>38.1</t>
  </si>
  <si>
    <t>6.432</t>
  </si>
  <si>
    <t xml:space="preserve">3.557 </t>
  </si>
  <si>
    <t>vertical register of the polymers is diverse</t>
  </si>
  <si>
    <t>hide 700-1000 and 1600-1800 and rescale in P6</t>
  </si>
  <si>
    <t>0.18, 0.17</t>
  </si>
  <si>
    <t>0.45, 0.4</t>
  </si>
  <si>
    <t>21.73, 20.62</t>
  </si>
  <si>
    <t>700-1000, 1600-1800</t>
  </si>
  <si>
    <t>141.0675 141.0675 68.2369 90.0 90.0 120.0</t>
  </si>
  <si>
    <t>4.992</t>
  </si>
  <si>
    <t>0.173</t>
  </si>
  <si>
    <t>3491</t>
  </si>
  <si>
    <t>100.0</t>
  </si>
  <si>
    <t>15.1</t>
  </si>
  <si>
    <t>3.988</t>
  </si>
  <si>
    <t>36.0</t>
  </si>
  <si>
    <t>6.587</t>
  </si>
  <si>
    <t>3.630</t>
  </si>
  <si>
    <t>VPS only</t>
  </si>
  <si>
    <t>165.3</t>
  </si>
  <si>
    <t>12.2</t>
  </si>
  <si>
    <t>fair</t>
  </si>
  <si>
    <t>no</t>
  </si>
  <si>
    <t>hide 1-10, 690-1000 and 1600-1800 and rescale in P65</t>
  </si>
  <si>
    <t>0.16, 0.18</t>
  </si>
  <si>
    <t>0.43, 0.41</t>
  </si>
  <si>
    <t>21.93, 20.35</t>
  </si>
  <si>
    <t>1-10, 690-1000, 1600-1800</t>
  </si>
  <si>
    <t>P65</t>
  </si>
  <si>
    <t>141.0594 141.0594 68.2326 90.0 90.0 120.0</t>
  </si>
  <si>
    <t>4.978</t>
  </si>
  <si>
    <t>0.178</t>
  </si>
  <si>
    <t>3503</t>
  </si>
  <si>
    <t>15.0</t>
  </si>
  <si>
    <t>3.994</t>
  </si>
  <si>
    <t>0.136</t>
  </si>
  <si>
    <t>35.8</t>
  </si>
  <si>
    <t>6.594</t>
  </si>
  <si>
    <t>3.640</t>
  </si>
  <si>
    <t>54.4</t>
  </si>
  <si>
    <t>6.7</t>
  </si>
  <si>
    <t>rescale whole dataset in P1</t>
  </si>
  <si>
    <t>0.45</t>
  </si>
  <si>
    <t>31.97</t>
  </si>
  <si>
    <t>68.243 140.852 141.055 119.896 89.983 90.056</t>
  </si>
  <si>
    <t>6.326</t>
  </si>
  <si>
    <t>0.070</t>
  </si>
  <si>
    <t>8932</t>
  </si>
  <si>
    <t>92.0</t>
  </si>
  <si>
    <t>3.9</t>
  </si>
  <si>
    <t>4.381</t>
  </si>
  <si>
    <t>0.071</t>
  </si>
  <si>
    <t>32.3</t>
  </si>
  <si>
    <t>4.177</t>
  </si>
  <si>
    <t>6.938</t>
  </si>
  <si>
    <t>7.201</t>
  </si>
  <si>
    <t>785.7</t>
  </si>
  <si>
    <t>6.0</t>
  </si>
  <si>
    <t>rescale whole dataset in P2</t>
  </si>
  <si>
    <t>19.31</t>
  </si>
  <si>
    <t>140.943 68.282 141.128 90.000 119.894 90.000</t>
  </si>
  <si>
    <t>5.476</t>
  </si>
  <si>
    <t>0.197</t>
  </si>
  <si>
    <t>7885</t>
  </si>
  <si>
    <t>98.9</t>
  </si>
  <si>
    <t>7.0</t>
  </si>
  <si>
    <t>4.265</t>
  </si>
  <si>
    <t>35.9</t>
  </si>
  <si>
    <t>6.734</t>
  </si>
  <si>
    <t>3.903</t>
  </si>
  <si>
    <t>7.159</t>
  </si>
  <si>
    <t>hide 100-175, 700-1050, 1600-1800 and rescale into P2</t>
  </si>
  <si>
    <t>0.19,0.19,</t>
  </si>
  <si>
    <t>0.5,0.45,</t>
  </si>
  <si>
    <t>38.06,43.06,</t>
  </si>
  <si>
    <t>100-175, 700-1050, 1600-1800</t>
  </si>
  <si>
    <t>140.8056 68.2258 141.0363 90.0 119.9039 90.0</t>
  </si>
  <si>
    <t>5.416</t>
  </si>
  <si>
    <t>0.128</t>
  </si>
  <si>
    <t>86.1</t>
  </si>
  <si>
    <t>5.0</t>
  </si>
  <si>
    <t>4.379</t>
  </si>
  <si>
    <t>0.105</t>
  </si>
  <si>
    <t>32.8</t>
  </si>
  <si>
    <t>1.674</t>
  </si>
  <si>
    <t>4.285</t>
  </si>
  <si>
    <t>7.228</t>
  </si>
  <si>
    <t>411.2</t>
  </si>
  <si>
    <t>5.6</t>
  </si>
  <si>
    <t>rescale whole dataset in P3</t>
  </si>
  <si>
    <t>16.77</t>
  </si>
  <si>
    <t>P3</t>
  </si>
  <si>
    <t>141.195 141.195 68.311 90.0 90.0 120.0</t>
  </si>
  <si>
    <t>5.148</t>
  </si>
  <si>
    <t>0.217</t>
  </si>
  <si>
    <t>6051</t>
  </si>
  <si>
    <t>4.127</t>
  </si>
  <si>
    <t>0.167</t>
  </si>
  <si>
    <t>38.2</t>
  </si>
  <si>
    <t>6.692</t>
  </si>
  <si>
    <t>3.721</t>
  </si>
  <si>
    <t>hide 0-200, 700-1100, 1600-1800 and rescale into P3</t>
  </si>
  <si>
    <t>0.17,0.22</t>
  </si>
  <si>
    <t>0.45,0.45</t>
  </si>
  <si>
    <t>28.51,29.09</t>
  </si>
  <si>
    <t>0-200, 700-1100, 1600-1800</t>
  </si>
  <si>
    <t>141.1238 141.1238 68.2415 90.0 90.0 120.0</t>
  </si>
  <si>
    <t>6.008</t>
  </si>
  <si>
    <t>0.093</t>
  </si>
  <si>
    <t>97.2</t>
  </si>
  <si>
    <t>6.2</t>
  </si>
  <si>
    <t>4.167</t>
  </si>
  <si>
    <t>0.109</t>
  </si>
  <si>
    <t>33.1</t>
  </si>
  <si>
    <t>7.008</t>
  </si>
  <si>
    <t>3.788</t>
  </si>
  <si>
    <t>300.7</t>
  </si>
  <si>
    <t>5.9</t>
  </si>
  <si>
    <t>I5</t>
  </si>
  <si>
    <t>ice, no crystal?</t>
  </si>
  <si>
    <t>I6</t>
  </si>
  <si>
    <t>2Trig-10xHis-1TEL-SR-UBA (3)</t>
  </si>
  <si>
    <t>No crystal</t>
  </si>
  <si>
    <t>I7</t>
  </si>
  <si>
    <t>trapezoidal plates</t>
  </si>
  <si>
    <t>Salt RX G1 20mg/mL</t>
  </si>
  <si>
    <t>Some ice, no diffraction</t>
  </si>
  <si>
    <t>I8</t>
  </si>
  <si>
    <t>1TEL-SR-VPS34 (2)</t>
  </si>
  <si>
    <t>Few spots, low resoltion - did not collect</t>
  </si>
  <si>
    <t>J1</t>
  </si>
  <si>
    <t>Empty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</si>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</sst>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00"/>
    <numFmt numFmtId="166" formatCode="0.0000"/>
  </numFmts>
  <fonts count="14">
    <font>
      <sz val="10"/>
      <name val="Arial"/>
      <family val="2"/>
      <charset val="1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Calibri"/>
    </font>
    <font>
      <u/>
      <sz val="10"/>
      <color rgb="FF000000"/>
      <name val="Arial"/>
    </font>
    <font>
      <b/>
      <sz val="10"/>
      <color rgb="FF000000"/>
      <name val="Calibri"/>
    </font>
    <font>
      <sz val="8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ptos Display"/>
      <scheme val="major"/>
    </font>
    <font>
      <b/>
      <sz val="10"/>
      <color theme="1"/>
      <name val="Aptos Display"/>
      <scheme val="major"/>
    </font>
    <font>
      <sz val="9"/>
      <name val="Arial"/>
      <family val="2"/>
      <charset val="1"/>
    </font>
    <font>
      <sz val="8.5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B1A0C7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6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6" borderId="0" xfId="0" applyFont="1" applyFill="1"/>
    <xf numFmtId="0" fontId="2" fillId="6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49" fontId="0" fillId="8" borderId="0" xfId="0" applyNumberFormat="1" applyFill="1"/>
    <xf numFmtId="49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49" fontId="9" fillId="10" borderId="0" xfId="0" applyNumberFormat="1" applyFon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textRotation="90" wrapText="1"/>
    </xf>
    <xf numFmtId="49" fontId="10" fillId="7" borderId="0" xfId="1" applyNumberFormat="1" applyFont="1" applyFill="1" applyAlignment="1">
      <alignment horizontal="center" textRotation="90" wrapText="1"/>
    </xf>
    <xf numFmtId="0" fontId="11" fillId="0" borderId="0" xfId="0" applyFont="1" applyAlignment="1">
      <alignment horizontal="center" vertical="center" textRotation="90" wrapText="1"/>
    </xf>
    <xf numFmtId="2" fontId="0" fillId="10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164" fontId="0" fillId="12" borderId="0" xfId="0" applyNumberFormat="1" applyFill="1"/>
    <xf numFmtId="49" fontId="0" fillId="12" borderId="0" xfId="0" applyNumberFormat="1" applyFill="1"/>
    <xf numFmtId="0" fontId="1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0" xfId="0" applyFont="1" applyFill="1"/>
    <xf numFmtId="0" fontId="4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49" fontId="0" fillId="12" borderId="0" xfId="0" applyNumberFormat="1" applyFill="1" applyAlignment="1">
      <alignment horizontal="center" vertical="center"/>
    </xf>
    <xf numFmtId="0" fontId="0" fillId="12" borderId="0" xfId="0" applyFill="1"/>
    <xf numFmtId="0" fontId="1" fillId="12" borderId="0" xfId="0" applyFont="1" applyFill="1"/>
    <xf numFmtId="49" fontId="12" fillId="12" borderId="0" xfId="0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49" fontId="0" fillId="13" borderId="0" xfId="0" applyNumberFormat="1" applyFill="1" applyAlignment="1">
      <alignment horizontal="center" vertical="center"/>
    </xf>
    <xf numFmtId="164" fontId="0" fillId="7" borderId="0" xfId="0" applyNumberFormat="1" applyFill="1"/>
    <xf numFmtId="49" fontId="0" fillId="7" borderId="0" xfId="0" applyNumberFormat="1" applyFill="1"/>
    <xf numFmtId="0" fontId="1" fillId="7" borderId="0" xfId="0" applyFont="1" applyFill="1" applyAlignment="1">
      <alignment horizontal="center"/>
    </xf>
    <xf numFmtId="0" fontId="2" fillId="7" borderId="0" xfId="0" applyFont="1" applyFill="1"/>
    <xf numFmtId="0" fontId="1" fillId="7" borderId="0" xfId="0" applyFont="1" applyFill="1" applyAlignment="1">
      <alignment horizontal="left"/>
    </xf>
    <xf numFmtId="16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49" fontId="0" fillId="7" borderId="0" xfId="0" applyNumberFormat="1" applyFill="1" applyAlignment="1">
      <alignment horizontal="center" vertical="center"/>
    </xf>
    <xf numFmtId="0" fontId="0" fillId="7" borderId="0" xfId="0" applyFill="1"/>
    <xf numFmtId="49" fontId="0" fillId="9" borderId="2" xfId="0" applyNumberFormat="1" applyFill="1" applyBorder="1" applyAlignment="1">
      <alignment horizontal="center" vertical="center"/>
    </xf>
    <xf numFmtId="166" fontId="0" fillId="9" borderId="2" xfId="0" applyNumberForma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 textRotation="90" wrapText="1"/>
    </xf>
  </cellXfs>
  <cellStyles count="2">
    <cellStyle name="Normal" xfId="0" builtinId="0"/>
    <cellStyle name="Normal 2" xfId="1" xr:uid="{74447F7A-2A40-4855-9108-9E182CD100EA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135"/>
  <sheetViews>
    <sheetView tabSelected="1" zoomScaleNormal="100" workbookViewId="0">
      <pane ySplit="1" topLeftCell="V2" activePane="bottomLeft" state="frozen"/>
      <selection pane="bottomLeft" activeCell="AM1" sqref="AM1"/>
    </sheetView>
  </sheetViews>
  <sheetFormatPr defaultColWidth="9.140625" defaultRowHeight="12.75"/>
  <cols>
    <col min="1" max="1" width="14.85546875" style="1" hidden="1" customWidth="1"/>
    <col min="2" max="2" width="8" style="1" hidden="1" customWidth="1"/>
    <col min="3" max="4" width="3.5703125" style="1" hidden="1" customWidth="1"/>
    <col min="5" max="5" width="42.7109375" style="22" customWidth="1"/>
    <col min="6" max="6" width="16" style="1" hidden="1" customWidth="1"/>
    <col min="7" max="7" width="23.85546875" style="22" customWidth="1"/>
    <col min="8" max="8" width="47.85546875" style="1" hidden="1" customWidth="1"/>
    <col min="9" max="9" width="25.28515625" style="1" bestFit="1" customWidth="1"/>
    <col min="10" max="11" width="9.5703125" style="1" hidden="1" customWidth="1"/>
    <col min="12" max="12" width="2.7109375" style="1" hidden="1" customWidth="1"/>
    <col min="13" max="13" width="15.85546875" style="1" customWidth="1"/>
    <col min="14" max="14" width="5.7109375" style="1" customWidth="1"/>
    <col min="15" max="15" width="23.7109375" style="26" customWidth="1"/>
    <col min="16" max="16" width="21.5703125" style="26" customWidth="1"/>
    <col min="17" max="17" width="10" style="26" customWidth="1"/>
    <col min="18" max="18" width="11.42578125" style="26" customWidth="1"/>
    <col min="19" max="19" width="12.42578125" style="26" customWidth="1"/>
    <col min="20" max="20" width="15.140625" style="26" customWidth="1"/>
    <col min="21" max="21" width="8.5703125" style="26" bestFit="1" customWidth="1"/>
    <col min="22" max="22" width="43.5703125" style="26" bestFit="1" customWidth="1"/>
    <col min="23" max="23" width="6" style="27" customWidth="1"/>
    <col min="24" max="24" width="6" style="26" customWidth="1"/>
    <col min="25" max="28" width="7.28515625" style="26" customWidth="1"/>
    <col min="29" max="39" width="8.85546875" style="26" customWidth="1"/>
    <col min="40" max="1028" width="8.85546875" style="1" customWidth="1"/>
  </cols>
  <sheetData>
    <row r="1" spans="1:1028" s="32" customFormat="1" ht="79.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3" t="s">
        <v>3</v>
      </c>
      <c r="O1" s="34" t="s">
        <v>13</v>
      </c>
      <c r="P1" s="34" t="s">
        <v>14</v>
      </c>
      <c r="Q1" s="34" t="s">
        <v>15</v>
      </c>
      <c r="R1" s="34" t="s">
        <v>16</v>
      </c>
      <c r="S1" s="34" t="s">
        <v>17</v>
      </c>
      <c r="T1" s="34" t="s">
        <v>18</v>
      </c>
      <c r="U1" s="34" t="s">
        <v>19</v>
      </c>
      <c r="V1" s="34" t="s">
        <v>20</v>
      </c>
      <c r="W1" s="66" t="s">
        <v>21</v>
      </c>
      <c r="X1" s="34" t="s">
        <v>22</v>
      </c>
      <c r="Y1" s="34" t="s">
        <v>23</v>
      </c>
      <c r="Z1" s="34" t="s">
        <v>24</v>
      </c>
      <c r="AA1" s="34" t="s">
        <v>25</v>
      </c>
      <c r="AB1" s="34" t="s">
        <v>26</v>
      </c>
      <c r="AC1" s="34" t="s">
        <v>27</v>
      </c>
      <c r="AD1" s="34" t="s">
        <v>28</v>
      </c>
      <c r="AE1" s="34" t="s">
        <v>29</v>
      </c>
      <c r="AF1" s="34" t="s">
        <v>30</v>
      </c>
      <c r="AG1" s="34" t="s">
        <v>31</v>
      </c>
      <c r="AH1" s="34" t="s">
        <v>32</v>
      </c>
      <c r="AI1" s="34" t="s">
        <v>33</v>
      </c>
      <c r="AJ1" s="34" t="s">
        <v>34</v>
      </c>
      <c r="AK1" s="34" t="s">
        <v>35</v>
      </c>
      <c r="AL1" s="34" t="s">
        <v>36</v>
      </c>
      <c r="AM1" s="34" t="s">
        <v>37</v>
      </c>
    </row>
    <row r="2" spans="1:1028">
      <c r="A2" s="2" t="s">
        <v>38</v>
      </c>
      <c r="B2" s="2" t="s">
        <v>39</v>
      </c>
      <c r="C2" s="1" t="s">
        <v>40</v>
      </c>
      <c r="D2" s="1" t="s">
        <v>40</v>
      </c>
      <c r="F2" s="1" t="s">
        <v>40</v>
      </c>
      <c r="G2" s="22" t="s">
        <v>41</v>
      </c>
      <c r="N2" s="1" t="s">
        <v>40</v>
      </c>
      <c r="O2" s="24" t="s">
        <v>42</v>
      </c>
      <c r="P2" s="25"/>
      <c r="Q2" s="25"/>
    </row>
    <row r="3" spans="1:1028">
      <c r="A3" s="2" t="s">
        <v>38</v>
      </c>
      <c r="B3" s="2" t="s">
        <v>39</v>
      </c>
      <c r="C3" s="1" t="s">
        <v>43</v>
      </c>
      <c r="D3" s="1" t="s">
        <v>43</v>
      </c>
      <c r="E3" s="7" t="s">
        <v>44</v>
      </c>
      <c r="F3" s="1" t="s">
        <v>43</v>
      </c>
      <c r="G3" s="7" t="s">
        <v>45</v>
      </c>
      <c r="H3"/>
      <c r="I3" s="3" t="s">
        <v>46</v>
      </c>
      <c r="J3" s="10"/>
      <c r="K3" s="10"/>
      <c r="M3" s="14" t="s">
        <v>47</v>
      </c>
      <c r="N3" s="1" t="s">
        <v>43</v>
      </c>
      <c r="O3" s="26" t="s">
        <v>48</v>
      </c>
    </row>
    <row r="4" spans="1:1028">
      <c r="A4" s="2" t="s">
        <v>38</v>
      </c>
      <c r="B4" s="2" t="s">
        <v>39</v>
      </c>
      <c r="C4" s="1" t="s">
        <v>49</v>
      </c>
      <c r="D4" s="1" t="s">
        <v>49</v>
      </c>
      <c r="E4" s="7" t="s">
        <v>44</v>
      </c>
      <c r="F4" s="1" t="s">
        <v>49</v>
      </c>
      <c r="G4" s="7" t="s">
        <v>45</v>
      </c>
      <c r="H4"/>
      <c r="I4" s="3" t="s">
        <v>46</v>
      </c>
      <c r="J4" s="10"/>
      <c r="K4" s="10"/>
      <c r="M4" s="14" t="s">
        <v>47</v>
      </c>
      <c r="N4" s="1" t="s">
        <v>50</v>
      </c>
      <c r="O4" s="25" t="s">
        <v>51</v>
      </c>
      <c r="P4" s="27" t="s">
        <v>52</v>
      </c>
    </row>
    <row r="5" spans="1:1028" s="47" customFormat="1">
      <c r="A5" s="2" t="s">
        <v>38</v>
      </c>
      <c r="B5" s="39" t="s">
        <v>39</v>
      </c>
      <c r="C5" s="40" t="s">
        <v>53</v>
      </c>
      <c r="D5" s="40" t="s">
        <v>53</v>
      </c>
      <c r="E5" s="41" t="s">
        <v>44</v>
      </c>
      <c r="F5" s="40" t="s">
        <v>53</v>
      </c>
      <c r="G5" s="41" t="s">
        <v>45</v>
      </c>
      <c r="I5" s="48" t="s">
        <v>46</v>
      </c>
      <c r="J5" s="44"/>
      <c r="K5" s="44"/>
      <c r="L5" s="40"/>
      <c r="M5" s="45" t="s">
        <v>47</v>
      </c>
      <c r="N5" s="40" t="s">
        <v>53</v>
      </c>
      <c r="O5" s="46" t="s">
        <v>54</v>
      </c>
      <c r="P5" s="46" t="s">
        <v>55</v>
      </c>
      <c r="Q5" s="46" t="s">
        <v>56</v>
      </c>
      <c r="R5" s="46" t="s">
        <v>57</v>
      </c>
      <c r="S5" s="46" t="s">
        <v>58</v>
      </c>
      <c r="T5" s="46" t="s">
        <v>59</v>
      </c>
      <c r="U5" s="46" t="s">
        <v>60</v>
      </c>
      <c r="V5" s="46" t="s">
        <v>61</v>
      </c>
      <c r="W5" s="27" t="s">
        <v>62</v>
      </c>
      <c r="X5" s="46" t="s">
        <v>63</v>
      </c>
      <c r="Y5" s="46" t="s">
        <v>64</v>
      </c>
      <c r="Z5" s="46"/>
      <c r="AA5" s="46" t="s">
        <v>65</v>
      </c>
      <c r="AB5" s="46" t="s">
        <v>66</v>
      </c>
      <c r="AC5" s="46" t="s">
        <v>67</v>
      </c>
      <c r="AD5" s="46" t="s">
        <v>68</v>
      </c>
      <c r="AE5" s="46" t="s">
        <v>69</v>
      </c>
      <c r="AF5" s="46" t="s">
        <v>70</v>
      </c>
      <c r="AG5" s="46" t="s">
        <v>71</v>
      </c>
      <c r="AH5" s="46" t="s">
        <v>72</v>
      </c>
      <c r="AI5" s="46"/>
      <c r="AJ5" s="46" t="s">
        <v>73</v>
      </c>
      <c r="AK5" s="46" t="s">
        <v>74</v>
      </c>
      <c r="AL5" s="46" t="s">
        <v>75</v>
      </c>
      <c r="AM5" s="46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  <c r="AMM5" s="40"/>
      <c r="AMN5" s="40"/>
    </row>
    <row r="6" spans="1:1028">
      <c r="A6" s="2" t="s">
        <v>38</v>
      </c>
      <c r="B6" s="2"/>
      <c r="E6" s="7"/>
      <c r="G6" s="7"/>
      <c r="H6"/>
      <c r="I6" s="3"/>
      <c r="J6" s="10"/>
      <c r="K6" s="10"/>
      <c r="M6" s="14"/>
      <c r="O6" s="28" t="s">
        <v>76</v>
      </c>
      <c r="P6" s="26" t="s">
        <v>55</v>
      </c>
      <c r="Q6" s="26" t="s">
        <v>56</v>
      </c>
      <c r="R6" s="26" t="s">
        <v>77</v>
      </c>
      <c r="S6" s="26" t="s">
        <v>78</v>
      </c>
      <c r="T6" s="26" t="s">
        <v>59</v>
      </c>
      <c r="U6" s="26" t="s">
        <v>79</v>
      </c>
      <c r="V6" s="26" t="s">
        <v>80</v>
      </c>
      <c r="W6" s="27" t="s">
        <v>81</v>
      </c>
      <c r="X6" s="26" t="s">
        <v>82</v>
      </c>
      <c r="Y6" s="26" t="s">
        <v>83</v>
      </c>
      <c r="AA6" s="26" t="s">
        <v>84</v>
      </c>
      <c r="AB6" s="26" t="s">
        <v>85</v>
      </c>
      <c r="AC6" s="26" t="s">
        <v>86</v>
      </c>
      <c r="AD6" s="26" t="s">
        <v>87</v>
      </c>
      <c r="AE6" s="26" t="s">
        <v>88</v>
      </c>
      <c r="AF6" s="26" t="s">
        <v>89</v>
      </c>
      <c r="AG6" s="26" t="s">
        <v>90</v>
      </c>
      <c r="AH6" s="26" t="s">
        <v>91</v>
      </c>
    </row>
    <row r="7" spans="1:1028">
      <c r="A7" s="2" t="s">
        <v>38</v>
      </c>
      <c r="B7" s="2"/>
      <c r="E7" s="7"/>
      <c r="G7" s="7"/>
      <c r="H7"/>
      <c r="I7" s="3"/>
      <c r="J7" s="10"/>
      <c r="K7" s="10"/>
      <c r="M7" s="14"/>
      <c r="O7" s="28" t="s">
        <v>92</v>
      </c>
      <c r="U7" s="26" t="s">
        <v>79</v>
      </c>
      <c r="V7" s="26" t="s">
        <v>93</v>
      </c>
    </row>
    <row r="8" spans="1:1028">
      <c r="A8" s="2" t="s">
        <v>38</v>
      </c>
      <c r="B8" s="2"/>
      <c r="E8" s="7"/>
      <c r="G8" s="7"/>
      <c r="H8"/>
      <c r="I8" s="3"/>
      <c r="J8" s="10"/>
      <c r="K8" s="10"/>
      <c r="M8" s="14"/>
      <c r="O8" s="28" t="s">
        <v>94</v>
      </c>
      <c r="U8" s="26" t="s">
        <v>79</v>
      </c>
      <c r="V8" s="26" t="s">
        <v>93</v>
      </c>
    </row>
    <row r="9" spans="1:1028">
      <c r="A9" s="2" t="s">
        <v>38</v>
      </c>
      <c r="B9" s="2" t="s">
        <v>39</v>
      </c>
      <c r="C9" s="1" t="s">
        <v>95</v>
      </c>
      <c r="D9" s="1" t="s">
        <v>95</v>
      </c>
      <c r="E9" s="7" t="s">
        <v>44</v>
      </c>
      <c r="F9" s="1" t="s">
        <v>95</v>
      </c>
      <c r="G9" s="7" t="s">
        <v>45</v>
      </c>
      <c r="H9"/>
      <c r="I9" s="3" t="s">
        <v>46</v>
      </c>
      <c r="J9" s="10"/>
      <c r="K9" s="10"/>
      <c r="M9" s="14" t="s">
        <v>96</v>
      </c>
      <c r="N9" s="1" t="s">
        <v>95</v>
      </c>
      <c r="O9" s="26" t="s">
        <v>97</v>
      </c>
      <c r="P9" s="26" t="s">
        <v>98</v>
      </c>
    </row>
    <row r="10" spans="1:1028">
      <c r="A10" s="2" t="s">
        <v>38</v>
      </c>
      <c r="B10" s="2" t="s">
        <v>39</v>
      </c>
      <c r="C10" s="1" t="s">
        <v>99</v>
      </c>
      <c r="D10" s="1" t="s">
        <v>99</v>
      </c>
      <c r="E10" s="7" t="s">
        <v>44</v>
      </c>
      <c r="F10" s="1" t="s">
        <v>99</v>
      </c>
      <c r="G10" s="7" t="s">
        <v>45</v>
      </c>
      <c r="H10"/>
      <c r="I10" s="3" t="s">
        <v>46</v>
      </c>
      <c r="J10" s="10"/>
      <c r="K10" s="10"/>
      <c r="M10" s="14" t="s">
        <v>96</v>
      </c>
      <c r="N10" s="1" t="s">
        <v>99</v>
      </c>
      <c r="O10" s="26" t="s">
        <v>100</v>
      </c>
    </row>
    <row r="11" spans="1:1028">
      <c r="A11" s="2" t="s">
        <v>38</v>
      </c>
      <c r="B11" s="2" t="s">
        <v>39</v>
      </c>
      <c r="C11" s="1" t="s">
        <v>101</v>
      </c>
      <c r="D11" s="1" t="s">
        <v>101</v>
      </c>
      <c r="E11" s="7" t="s">
        <v>102</v>
      </c>
      <c r="F11" s="1" t="s">
        <v>101</v>
      </c>
      <c r="G11" s="7" t="s">
        <v>45</v>
      </c>
      <c r="H11"/>
      <c r="I11" s="3" t="s">
        <v>46</v>
      </c>
      <c r="J11" s="10"/>
      <c r="K11" s="10"/>
      <c r="M11" s="14" t="s">
        <v>47</v>
      </c>
      <c r="N11" s="1" t="s">
        <v>101</v>
      </c>
      <c r="O11" s="25" t="s">
        <v>103</v>
      </c>
      <c r="P11" s="26" t="s">
        <v>104</v>
      </c>
      <c r="Q11" s="26" t="s">
        <v>105</v>
      </c>
      <c r="S11" s="26" t="s">
        <v>106</v>
      </c>
      <c r="T11" s="26" t="s">
        <v>107</v>
      </c>
      <c r="U11" s="26" t="s">
        <v>108</v>
      </c>
      <c r="V11" s="26" t="s">
        <v>109</v>
      </c>
      <c r="W11" s="27" t="s">
        <v>110</v>
      </c>
      <c r="X11" s="26" t="s">
        <v>111</v>
      </c>
      <c r="Y11" s="26" t="s">
        <v>112</v>
      </c>
      <c r="AA11" s="26" t="s">
        <v>113</v>
      </c>
      <c r="AB11" s="26" t="s">
        <v>114</v>
      </c>
      <c r="AC11" s="26" t="s">
        <v>115</v>
      </c>
      <c r="AD11" s="26" t="s">
        <v>116</v>
      </c>
      <c r="AE11" s="26" t="s">
        <v>117</v>
      </c>
      <c r="AF11" s="26" t="s">
        <v>118</v>
      </c>
      <c r="AG11" s="26" t="s">
        <v>119</v>
      </c>
      <c r="AH11" s="26" t="s">
        <v>120</v>
      </c>
    </row>
    <row r="12" spans="1:1028">
      <c r="A12" s="2" t="s">
        <v>38</v>
      </c>
      <c r="B12" s="2" t="s">
        <v>39</v>
      </c>
      <c r="C12" s="1" t="s">
        <v>121</v>
      </c>
      <c r="D12" s="1" t="s">
        <v>121</v>
      </c>
      <c r="E12" s="7" t="s">
        <v>102</v>
      </c>
      <c r="F12" s="1" t="s">
        <v>121</v>
      </c>
      <c r="G12" s="7" t="s">
        <v>45</v>
      </c>
      <c r="H12"/>
      <c r="I12" s="3" t="s">
        <v>46</v>
      </c>
      <c r="J12" s="10"/>
      <c r="K12" s="10"/>
      <c r="M12" s="14" t="s">
        <v>47</v>
      </c>
      <c r="N12" s="1" t="s">
        <v>121</v>
      </c>
      <c r="O12" s="26" t="s">
        <v>100</v>
      </c>
    </row>
    <row r="13" spans="1:1028">
      <c r="A13" s="2" t="s">
        <v>38</v>
      </c>
      <c r="B13" s="2" t="s">
        <v>39</v>
      </c>
      <c r="C13" s="1" t="s">
        <v>122</v>
      </c>
      <c r="D13" s="1" t="s">
        <v>122</v>
      </c>
      <c r="E13" s="7" t="s">
        <v>102</v>
      </c>
      <c r="F13" s="1" t="s">
        <v>122</v>
      </c>
      <c r="G13" s="7" t="s">
        <v>45</v>
      </c>
      <c r="H13"/>
      <c r="I13" s="3" t="s">
        <v>46</v>
      </c>
      <c r="J13" s="10"/>
      <c r="K13" s="10"/>
      <c r="M13" s="14" t="s">
        <v>47</v>
      </c>
      <c r="N13" s="1" t="s">
        <v>122</v>
      </c>
      <c r="O13" s="26" t="s">
        <v>100</v>
      </c>
    </row>
    <row r="14" spans="1:1028">
      <c r="A14" s="2" t="s">
        <v>38</v>
      </c>
      <c r="B14" s="2" t="s">
        <v>39</v>
      </c>
      <c r="C14" s="1" t="s">
        <v>123</v>
      </c>
      <c r="D14" s="1" t="s">
        <v>123</v>
      </c>
      <c r="E14" s="7" t="s">
        <v>102</v>
      </c>
      <c r="F14" s="1" t="s">
        <v>123</v>
      </c>
      <c r="G14" s="7" t="s">
        <v>45</v>
      </c>
      <c r="H14"/>
      <c r="I14" s="3" t="s">
        <v>46</v>
      </c>
      <c r="J14" s="10"/>
      <c r="K14" s="10"/>
      <c r="M14" s="14" t="s">
        <v>47</v>
      </c>
      <c r="N14" s="1" t="s">
        <v>123</v>
      </c>
      <c r="O14" s="26" t="s">
        <v>124</v>
      </c>
    </row>
    <row r="15" spans="1:1028">
      <c r="A15" s="2" t="s">
        <v>38</v>
      </c>
      <c r="B15" s="2" t="s">
        <v>39</v>
      </c>
      <c r="C15" s="1" t="s">
        <v>125</v>
      </c>
      <c r="D15" s="1" t="s">
        <v>125</v>
      </c>
      <c r="E15" s="7" t="s">
        <v>102</v>
      </c>
      <c r="F15" s="1" t="s">
        <v>125</v>
      </c>
      <c r="G15" s="7" t="s">
        <v>45</v>
      </c>
      <c r="H15"/>
      <c r="I15" s="3" t="s">
        <v>46</v>
      </c>
      <c r="J15" s="10"/>
      <c r="K15" s="10"/>
      <c r="M15" s="14" t="s">
        <v>47</v>
      </c>
      <c r="N15" s="1" t="s">
        <v>125</v>
      </c>
      <c r="O15" s="26" t="s">
        <v>126</v>
      </c>
    </row>
    <row r="16" spans="1:1028">
      <c r="A16" s="2" t="s">
        <v>38</v>
      </c>
      <c r="B16" s="2" t="s">
        <v>39</v>
      </c>
      <c r="C16" s="1" t="s">
        <v>127</v>
      </c>
      <c r="D16" s="1" t="s">
        <v>127</v>
      </c>
      <c r="E16" s="7" t="s">
        <v>102</v>
      </c>
      <c r="F16" s="1" t="s">
        <v>127</v>
      </c>
      <c r="G16" s="7" t="s">
        <v>45</v>
      </c>
      <c r="H16"/>
      <c r="I16" s="3" t="s">
        <v>46</v>
      </c>
      <c r="J16" s="10"/>
      <c r="K16" s="10"/>
      <c r="M16" s="14" t="s">
        <v>47</v>
      </c>
      <c r="N16" s="1" t="s">
        <v>127</v>
      </c>
      <c r="O16" s="26" t="s">
        <v>100</v>
      </c>
    </row>
    <row r="17" spans="1:1028">
      <c r="A17" s="2" t="s">
        <v>38</v>
      </c>
      <c r="B17" s="2" t="s">
        <v>39</v>
      </c>
      <c r="C17" s="1" t="s">
        <v>128</v>
      </c>
      <c r="D17" s="1" t="s">
        <v>128</v>
      </c>
      <c r="E17" s="7" t="s">
        <v>102</v>
      </c>
      <c r="F17" s="1" t="s">
        <v>128</v>
      </c>
      <c r="G17" s="7" t="s">
        <v>45</v>
      </c>
      <c r="H17" s="15" t="s">
        <v>129</v>
      </c>
      <c r="I17" s="3" t="s">
        <v>46</v>
      </c>
      <c r="J17" s="10"/>
      <c r="K17" s="10"/>
      <c r="M17" s="14" t="s">
        <v>96</v>
      </c>
      <c r="N17" s="1" t="s">
        <v>128</v>
      </c>
      <c r="O17" s="26" t="s">
        <v>100</v>
      </c>
      <c r="W17" s="27" t="s">
        <v>130</v>
      </c>
    </row>
    <row r="18" spans="1:1028">
      <c r="A18" s="2" t="s">
        <v>38</v>
      </c>
      <c r="B18" s="2" t="s">
        <v>39</v>
      </c>
      <c r="C18" s="1" t="s">
        <v>131</v>
      </c>
      <c r="D18" s="1" t="s">
        <v>131</v>
      </c>
      <c r="E18" s="7" t="s">
        <v>102</v>
      </c>
      <c r="F18" s="1" t="s">
        <v>131</v>
      </c>
      <c r="G18" s="23" t="s">
        <v>132</v>
      </c>
      <c r="H18" s="15" t="s">
        <v>133</v>
      </c>
      <c r="I18" s="6" t="s">
        <v>134</v>
      </c>
      <c r="J18" s="10">
        <v>472</v>
      </c>
      <c r="K18" s="10">
        <v>320</v>
      </c>
      <c r="M18" s="14" t="s">
        <v>47</v>
      </c>
      <c r="N18" s="1" t="s">
        <v>131</v>
      </c>
      <c r="O18" s="25" t="s">
        <v>135</v>
      </c>
      <c r="P18" s="26" t="s">
        <v>55</v>
      </c>
      <c r="Q18" s="26" t="s">
        <v>136</v>
      </c>
      <c r="R18" s="26" t="s">
        <v>137</v>
      </c>
      <c r="S18" s="26" t="s">
        <v>138</v>
      </c>
      <c r="T18" s="26" t="s">
        <v>139</v>
      </c>
      <c r="U18" s="26" t="s">
        <v>140</v>
      </c>
      <c r="V18" s="26" t="s">
        <v>141</v>
      </c>
      <c r="W18" s="27" t="s">
        <v>142</v>
      </c>
      <c r="X18" s="26" t="s">
        <v>143</v>
      </c>
      <c r="Y18" s="26" t="s">
        <v>144</v>
      </c>
      <c r="AA18" s="26" t="s">
        <v>145</v>
      </c>
      <c r="AB18" s="26" t="s">
        <v>146</v>
      </c>
      <c r="AC18" s="26" t="s">
        <v>147</v>
      </c>
      <c r="AD18" s="26" t="s">
        <v>148</v>
      </c>
      <c r="AE18" s="26" t="s">
        <v>149</v>
      </c>
      <c r="AF18" s="26" t="s">
        <v>150</v>
      </c>
      <c r="AG18" s="26" t="s">
        <v>151</v>
      </c>
      <c r="AH18" s="26" t="s">
        <v>152</v>
      </c>
    </row>
    <row r="19" spans="1:1028">
      <c r="A19" s="2" t="s">
        <v>38</v>
      </c>
      <c r="B19" s="2" t="s">
        <v>39</v>
      </c>
      <c r="C19" s="1" t="s">
        <v>153</v>
      </c>
      <c r="D19" s="1" t="s">
        <v>153</v>
      </c>
      <c r="E19" s="7" t="s">
        <v>102</v>
      </c>
      <c r="F19" s="1" t="s">
        <v>153</v>
      </c>
      <c r="G19" s="23" t="s">
        <v>132</v>
      </c>
      <c r="H19" s="6" t="s">
        <v>154</v>
      </c>
      <c r="I19" s="6" t="s">
        <v>134</v>
      </c>
      <c r="J19" s="10">
        <v>376</v>
      </c>
      <c r="K19" s="10">
        <v>272</v>
      </c>
      <c r="M19" s="14" t="s">
        <v>47</v>
      </c>
      <c r="N19" s="21" t="s">
        <v>153</v>
      </c>
      <c r="O19" s="25" t="s">
        <v>155</v>
      </c>
      <c r="P19" s="27" t="s">
        <v>156</v>
      </c>
    </row>
    <row r="20" spans="1:1028">
      <c r="A20" s="2" t="s">
        <v>38</v>
      </c>
      <c r="B20" s="2" t="s">
        <v>39</v>
      </c>
      <c r="C20" s="1" t="s">
        <v>157</v>
      </c>
      <c r="D20" s="1" t="s">
        <v>157</v>
      </c>
      <c r="E20" s="7" t="s">
        <v>102</v>
      </c>
      <c r="F20" s="1" t="s">
        <v>157</v>
      </c>
      <c r="G20" s="23" t="s">
        <v>132</v>
      </c>
      <c r="H20" s="6"/>
      <c r="I20" s="6" t="s">
        <v>134</v>
      </c>
      <c r="J20" s="10">
        <v>384</v>
      </c>
      <c r="K20" s="10">
        <v>144</v>
      </c>
      <c r="M20" s="14" t="s">
        <v>47</v>
      </c>
      <c r="N20" s="21" t="s">
        <v>157</v>
      </c>
      <c r="O20" s="25" t="s">
        <v>158</v>
      </c>
      <c r="P20" s="26" t="s">
        <v>55</v>
      </c>
      <c r="Q20" s="26" t="s">
        <v>159</v>
      </c>
      <c r="R20" s="26" t="s">
        <v>77</v>
      </c>
      <c r="S20" s="26" t="s">
        <v>160</v>
      </c>
      <c r="T20" s="26" t="s">
        <v>59</v>
      </c>
      <c r="U20" s="26" t="s">
        <v>140</v>
      </c>
      <c r="V20" s="26" t="s">
        <v>161</v>
      </c>
      <c r="W20" s="27" t="s">
        <v>162</v>
      </c>
      <c r="X20" s="26" t="s">
        <v>163</v>
      </c>
      <c r="Y20" s="26" t="s">
        <v>164</v>
      </c>
      <c r="AA20" s="26" t="s">
        <v>165</v>
      </c>
      <c r="AB20" s="26" t="s">
        <v>166</v>
      </c>
      <c r="AC20" s="26" t="s">
        <v>167</v>
      </c>
      <c r="AD20" s="26" t="s">
        <v>168</v>
      </c>
      <c r="AE20" s="26" t="s">
        <v>169</v>
      </c>
      <c r="AF20" s="26" t="s">
        <v>170</v>
      </c>
      <c r="AG20" s="26" t="s">
        <v>171</v>
      </c>
      <c r="AH20" s="26" t="s">
        <v>119</v>
      </c>
      <c r="AL20" s="50"/>
      <c r="AM20" s="50"/>
    </row>
    <row r="21" spans="1:1028">
      <c r="A21" s="2" t="s">
        <v>38</v>
      </c>
      <c r="B21" s="2"/>
      <c r="E21" s="7"/>
      <c r="G21" s="23"/>
      <c r="H21" s="6"/>
      <c r="I21" s="6"/>
      <c r="J21" s="10"/>
      <c r="K21" s="10"/>
      <c r="M21" s="14"/>
      <c r="N21" s="21" t="s">
        <v>172</v>
      </c>
      <c r="O21" s="25" t="s">
        <v>173</v>
      </c>
      <c r="P21" s="26" t="s">
        <v>174</v>
      </c>
      <c r="Q21" s="26" t="s">
        <v>175</v>
      </c>
      <c r="R21" s="26" t="s">
        <v>176</v>
      </c>
      <c r="S21" s="26" t="s">
        <v>177</v>
      </c>
      <c r="T21" s="26" t="s">
        <v>178</v>
      </c>
      <c r="U21" s="26" t="s">
        <v>140</v>
      </c>
      <c r="V21" s="26" t="s">
        <v>179</v>
      </c>
      <c r="W21" s="27" t="s">
        <v>180</v>
      </c>
      <c r="X21" s="26" t="s">
        <v>68</v>
      </c>
      <c r="Y21" s="26" t="s">
        <v>181</v>
      </c>
      <c r="AA21" s="26" t="s">
        <v>182</v>
      </c>
      <c r="AB21" s="26" t="s">
        <v>183</v>
      </c>
      <c r="AC21" s="26" t="s">
        <v>184</v>
      </c>
      <c r="AD21" s="26" t="s">
        <v>185</v>
      </c>
      <c r="AE21" s="26" t="s">
        <v>186</v>
      </c>
      <c r="AF21" s="26" t="s">
        <v>187</v>
      </c>
      <c r="AG21" s="26" t="s">
        <v>188</v>
      </c>
      <c r="AH21" s="26" t="s">
        <v>189</v>
      </c>
    </row>
    <row r="22" spans="1:1028">
      <c r="A22" s="2" t="s">
        <v>38</v>
      </c>
      <c r="B22" s="2" t="s">
        <v>39</v>
      </c>
      <c r="C22" s="1" t="s">
        <v>190</v>
      </c>
      <c r="D22" s="1" t="s">
        <v>190</v>
      </c>
      <c r="E22" s="7" t="s">
        <v>102</v>
      </c>
      <c r="F22" s="1" t="s">
        <v>190</v>
      </c>
      <c r="G22" s="23" t="s">
        <v>132</v>
      </c>
      <c r="H22" s="6" t="s">
        <v>191</v>
      </c>
      <c r="I22" s="6" t="s">
        <v>134</v>
      </c>
      <c r="J22" s="10"/>
      <c r="K22" s="10"/>
      <c r="M22" s="14" t="s">
        <v>47</v>
      </c>
      <c r="N22" s="21" t="s">
        <v>190</v>
      </c>
      <c r="O22" s="25" t="s">
        <v>192</v>
      </c>
      <c r="P22" s="26" t="s">
        <v>193</v>
      </c>
      <c r="Q22" s="26" t="s">
        <v>194</v>
      </c>
      <c r="R22" s="26" t="s">
        <v>57</v>
      </c>
      <c r="S22" s="26" t="s">
        <v>195</v>
      </c>
      <c r="T22" s="26" t="s">
        <v>59</v>
      </c>
      <c r="U22" s="26" t="s">
        <v>140</v>
      </c>
      <c r="V22" s="26" t="s">
        <v>196</v>
      </c>
      <c r="W22" s="27" t="s">
        <v>197</v>
      </c>
      <c r="X22" s="26" t="s">
        <v>198</v>
      </c>
      <c r="Y22" s="26" t="s">
        <v>199</v>
      </c>
      <c r="AA22" s="26" t="s">
        <v>200</v>
      </c>
      <c r="AB22" s="26" t="s">
        <v>201</v>
      </c>
      <c r="AC22" s="26" t="s">
        <v>202</v>
      </c>
      <c r="AD22" s="26" t="s">
        <v>203</v>
      </c>
      <c r="AE22" s="26" t="s">
        <v>204</v>
      </c>
      <c r="AF22" s="26" t="s">
        <v>205</v>
      </c>
      <c r="AG22" s="26" t="s">
        <v>206</v>
      </c>
      <c r="AH22" s="26" t="s">
        <v>207</v>
      </c>
    </row>
    <row r="23" spans="1:1028">
      <c r="A23" s="2" t="s">
        <v>38</v>
      </c>
      <c r="B23" s="2" t="s">
        <v>39</v>
      </c>
      <c r="C23" s="1" t="s">
        <v>108</v>
      </c>
      <c r="D23" s="1" t="s">
        <v>108</v>
      </c>
      <c r="E23" s="7" t="s">
        <v>102</v>
      </c>
      <c r="F23" s="1" t="s">
        <v>108</v>
      </c>
      <c r="G23" s="23" t="s">
        <v>132</v>
      </c>
      <c r="H23" s="6"/>
      <c r="I23" s="6" t="s">
        <v>134</v>
      </c>
      <c r="J23" s="10"/>
      <c r="K23" s="10"/>
      <c r="M23" s="14" t="s">
        <v>47</v>
      </c>
      <c r="N23" s="1" t="s">
        <v>108</v>
      </c>
      <c r="O23" s="26" t="s">
        <v>100</v>
      </c>
    </row>
    <row r="24" spans="1:1028" s="47" customFormat="1">
      <c r="A24" s="2" t="s">
        <v>38</v>
      </c>
      <c r="B24" s="39" t="s">
        <v>39</v>
      </c>
      <c r="C24" s="40" t="s">
        <v>208</v>
      </c>
      <c r="D24" s="40" t="s">
        <v>208</v>
      </c>
      <c r="E24" s="41" t="s">
        <v>102</v>
      </c>
      <c r="F24" s="40" t="s">
        <v>208</v>
      </c>
      <c r="G24" s="42" t="s">
        <v>132</v>
      </c>
      <c r="H24" s="43" t="s">
        <v>209</v>
      </c>
      <c r="I24" s="43" t="s">
        <v>134</v>
      </c>
      <c r="J24" s="44"/>
      <c r="K24" s="44"/>
      <c r="L24" s="40"/>
      <c r="M24" s="45" t="s">
        <v>47</v>
      </c>
      <c r="N24" s="40" t="s">
        <v>208</v>
      </c>
      <c r="O24" s="46" t="s">
        <v>210</v>
      </c>
      <c r="P24" s="46" t="s">
        <v>193</v>
      </c>
      <c r="Q24" s="46" t="s">
        <v>211</v>
      </c>
      <c r="R24" s="46" t="s">
        <v>212</v>
      </c>
      <c r="S24" s="46" t="s">
        <v>213</v>
      </c>
      <c r="T24" s="46" t="s">
        <v>59</v>
      </c>
      <c r="U24" s="46" t="s">
        <v>140</v>
      </c>
      <c r="V24" s="46" t="s">
        <v>214</v>
      </c>
      <c r="W24" s="27" t="s">
        <v>215</v>
      </c>
      <c r="X24" s="46" t="s">
        <v>216</v>
      </c>
      <c r="Y24" s="46" t="s">
        <v>217</v>
      </c>
      <c r="Z24" s="46"/>
      <c r="AA24" s="46" t="s">
        <v>218</v>
      </c>
      <c r="AB24" s="46" t="s">
        <v>219</v>
      </c>
      <c r="AC24" s="46" t="s">
        <v>220</v>
      </c>
      <c r="AD24" s="46" t="s">
        <v>221</v>
      </c>
      <c r="AE24" s="46" t="s">
        <v>222</v>
      </c>
      <c r="AF24" s="46" t="s">
        <v>223</v>
      </c>
      <c r="AG24" s="46" t="s">
        <v>224</v>
      </c>
      <c r="AH24" s="46" t="s">
        <v>225</v>
      </c>
      <c r="AI24" s="46"/>
      <c r="AJ24" s="46" t="s">
        <v>226</v>
      </c>
      <c r="AK24" s="46" t="s">
        <v>227</v>
      </c>
      <c r="AL24" s="49" t="s">
        <v>75</v>
      </c>
      <c r="AM24" s="49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  <c r="AML24" s="40"/>
      <c r="AMM24" s="40"/>
      <c r="AMN24" s="40"/>
    </row>
    <row r="25" spans="1:1028">
      <c r="A25" s="2" t="s">
        <v>38</v>
      </c>
      <c r="B25" s="2" t="s">
        <v>39</v>
      </c>
      <c r="C25" s="1" t="s">
        <v>228</v>
      </c>
      <c r="D25" s="1" t="s">
        <v>228</v>
      </c>
      <c r="E25" s="7" t="s">
        <v>102</v>
      </c>
      <c r="F25" s="1" t="s">
        <v>228</v>
      </c>
      <c r="G25" s="23" t="s">
        <v>132</v>
      </c>
      <c r="H25" s="6" t="s">
        <v>229</v>
      </c>
      <c r="I25" s="6" t="s">
        <v>134</v>
      </c>
      <c r="J25" s="10"/>
      <c r="K25" s="10"/>
      <c r="M25" s="14" t="s">
        <v>47</v>
      </c>
      <c r="N25" s="1" t="s">
        <v>228</v>
      </c>
      <c r="O25" s="26" t="s">
        <v>100</v>
      </c>
    </row>
    <row r="26" spans="1:1028">
      <c r="A26" s="2" t="s">
        <v>38</v>
      </c>
      <c r="B26" s="2" t="s">
        <v>39</v>
      </c>
      <c r="C26" s="1" t="s">
        <v>230</v>
      </c>
      <c r="D26" s="1" t="s">
        <v>230</v>
      </c>
      <c r="E26" s="7" t="s">
        <v>102</v>
      </c>
      <c r="F26" s="1" t="s">
        <v>230</v>
      </c>
      <c r="G26" s="23" t="s">
        <v>132</v>
      </c>
      <c r="H26" s="51" t="s">
        <v>231</v>
      </c>
      <c r="I26" s="51" t="s">
        <v>134</v>
      </c>
      <c r="J26" s="52"/>
      <c r="K26" s="52"/>
      <c r="M26" s="14" t="s">
        <v>47</v>
      </c>
      <c r="N26" s="1" t="s">
        <v>230</v>
      </c>
      <c r="O26" s="25" t="s">
        <v>232</v>
      </c>
      <c r="P26" s="26" t="s">
        <v>193</v>
      </c>
      <c r="Q26" s="26" t="s">
        <v>233</v>
      </c>
      <c r="R26" s="26" t="s">
        <v>212</v>
      </c>
      <c r="S26" s="26" t="s">
        <v>234</v>
      </c>
      <c r="T26" s="26" t="s">
        <v>59</v>
      </c>
      <c r="U26" s="26" t="s">
        <v>140</v>
      </c>
      <c r="V26" s="26" t="s">
        <v>235</v>
      </c>
      <c r="W26" s="27" t="s">
        <v>151</v>
      </c>
      <c r="X26" s="26" t="s">
        <v>236</v>
      </c>
      <c r="Y26" s="26" t="s">
        <v>237</v>
      </c>
      <c r="AA26" s="26" t="s">
        <v>238</v>
      </c>
      <c r="AB26" s="26" t="s">
        <v>239</v>
      </c>
      <c r="AC26" s="26" t="s">
        <v>240</v>
      </c>
      <c r="AD26" s="26" t="s">
        <v>241</v>
      </c>
      <c r="AE26" s="26" t="s">
        <v>242</v>
      </c>
      <c r="AF26" s="26" t="s">
        <v>243</v>
      </c>
      <c r="AG26" s="26" t="s">
        <v>244</v>
      </c>
      <c r="AH26" s="26" t="s">
        <v>245</v>
      </c>
      <c r="AJ26" s="26" t="s">
        <v>246</v>
      </c>
      <c r="AK26" s="26" t="s">
        <v>247</v>
      </c>
    </row>
    <row r="27" spans="1:1028" s="47" customFormat="1">
      <c r="A27" s="2" t="s">
        <v>38</v>
      </c>
      <c r="B27" s="39" t="s">
        <v>39</v>
      </c>
      <c r="C27" s="40" t="s">
        <v>248</v>
      </c>
      <c r="D27" s="40" t="s">
        <v>248</v>
      </c>
      <c r="E27" s="41" t="s">
        <v>102</v>
      </c>
      <c r="F27" s="40" t="s">
        <v>248</v>
      </c>
      <c r="G27" s="42" t="s">
        <v>132</v>
      </c>
      <c r="H27" s="43" t="s">
        <v>249</v>
      </c>
      <c r="I27" s="43" t="s">
        <v>250</v>
      </c>
      <c r="J27" s="44"/>
      <c r="K27" s="44"/>
      <c r="L27" s="40"/>
      <c r="M27" s="45" t="s">
        <v>96</v>
      </c>
      <c r="N27" s="40" t="s">
        <v>248</v>
      </c>
      <c r="O27" s="46" t="s">
        <v>251</v>
      </c>
      <c r="P27" s="46" t="s">
        <v>55</v>
      </c>
      <c r="Q27" s="46" t="s">
        <v>252</v>
      </c>
      <c r="R27" s="46" t="s">
        <v>253</v>
      </c>
      <c r="S27" s="46" t="s">
        <v>254</v>
      </c>
      <c r="T27" s="46" t="s">
        <v>59</v>
      </c>
      <c r="U27" s="46" t="s">
        <v>255</v>
      </c>
      <c r="V27" s="46" t="s">
        <v>256</v>
      </c>
      <c r="W27" s="27" t="s">
        <v>257</v>
      </c>
      <c r="X27" s="46" t="s">
        <v>143</v>
      </c>
      <c r="Y27" s="46" t="s">
        <v>258</v>
      </c>
      <c r="Z27" s="46"/>
      <c r="AA27" s="46" t="s">
        <v>259</v>
      </c>
      <c r="AB27" s="46" t="s">
        <v>260</v>
      </c>
      <c r="AC27" s="46" t="s">
        <v>261</v>
      </c>
      <c r="AD27" s="46" t="s">
        <v>262</v>
      </c>
      <c r="AE27" s="46" t="s">
        <v>263</v>
      </c>
      <c r="AF27" s="46" t="s">
        <v>264</v>
      </c>
      <c r="AG27" s="46" t="s">
        <v>265</v>
      </c>
      <c r="AH27" s="46" t="s">
        <v>266</v>
      </c>
      <c r="AI27" s="46"/>
      <c r="AJ27" s="46" t="s">
        <v>267</v>
      </c>
      <c r="AK27" s="46" t="s">
        <v>268</v>
      </c>
      <c r="AL27" s="46" t="s">
        <v>75</v>
      </c>
      <c r="AM27" s="46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  <c r="QD27" s="40"/>
      <c r="QE27" s="40"/>
      <c r="QF27" s="40"/>
      <c r="QG27" s="40"/>
      <c r="QH27" s="40"/>
      <c r="QI27" s="40"/>
      <c r="QJ27" s="40"/>
      <c r="QK27" s="40"/>
      <c r="QL27" s="40"/>
      <c r="QM27" s="40"/>
      <c r="QN27" s="40"/>
      <c r="QO27" s="40"/>
      <c r="QP27" s="40"/>
      <c r="QQ27" s="40"/>
      <c r="QR27" s="40"/>
      <c r="QS27" s="40"/>
      <c r="QT27" s="40"/>
      <c r="QU27" s="40"/>
      <c r="QV27" s="40"/>
      <c r="QW27" s="40"/>
      <c r="QX27" s="40"/>
      <c r="QY27" s="40"/>
      <c r="QZ27" s="40"/>
      <c r="RA27" s="40"/>
      <c r="RB27" s="40"/>
      <c r="RC27" s="40"/>
      <c r="RD27" s="40"/>
      <c r="RE27" s="40"/>
      <c r="RF27" s="40"/>
      <c r="RG27" s="40"/>
      <c r="RH27" s="40"/>
      <c r="RI27" s="40"/>
      <c r="RJ27" s="40"/>
      <c r="RK27" s="40"/>
      <c r="RL27" s="40"/>
      <c r="RM27" s="40"/>
      <c r="RN27" s="40"/>
      <c r="RO27" s="40"/>
      <c r="RP27" s="40"/>
      <c r="RQ27" s="40"/>
      <c r="RR27" s="40"/>
      <c r="RS27" s="40"/>
      <c r="RT27" s="40"/>
      <c r="RU27" s="40"/>
      <c r="RV27" s="40"/>
      <c r="RW27" s="40"/>
      <c r="RX27" s="40"/>
      <c r="RY27" s="40"/>
      <c r="RZ27" s="40"/>
      <c r="SA27" s="40"/>
      <c r="SB27" s="40"/>
      <c r="SC27" s="40"/>
      <c r="SD27" s="40"/>
      <c r="SE27" s="40"/>
      <c r="SF27" s="40"/>
      <c r="SG27" s="40"/>
      <c r="SH27" s="40"/>
      <c r="SI27" s="40"/>
      <c r="SJ27" s="40"/>
      <c r="SK27" s="40"/>
      <c r="SL27" s="40"/>
      <c r="SM27" s="40"/>
      <c r="SN27" s="40"/>
      <c r="SO27" s="40"/>
      <c r="SP27" s="40"/>
      <c r="SQ27" s="40"/>
      <c r="SR27" s="40"/>
      <c r="SS27" s="40"/>
      <c r="ST27" s="40"/>
      <c r="SU27" s="40"/>
      <c r="SV27" s="40"/>
      <c r="SW27" s="40"/>
      <c r="SX27" s="40"/>
      <c r="SY27" s="40"/>
      <c r="SZ27" s="40"/>
      <c r="TA27" s="40"/>
      <c r="TB27" s="40"/>
      <c r="TC27" s="40"/>
      <c r="TD27" s="40"/>
      <c r="TE27" s="40"/>
      <c r="TF27" s="40"/>
      <c r="TG27" s="40"/>
      <c r="TH27" s="40"/>
      <c r="TI27" s="40"/>
      <c r="TJ27" s="40"/>
      <c r="TK27" s="40"/>
      <c r="TL27" s="40"/>
      <c r="TM27" s="40"/>
      <c r="TN27" s="40"/>
      <c r="TO27" s="40"/>
      <c r="TP27" s="40"/>
      <c r="TQ27" s="40"/>
      <c r="TR27" s="40"/>
      <c r="TS27" s="40"/>
      <c r="TT27" s="40"/>
      <c r="TU27" s="40"/>
      <c r="TV27" s="40"/>
      <c r="TW27" s="40"/>
      <c r="TX27" s="40"/>
      <c r="TY27" s="40"/>
      <c r="TZ27" s="40"/>
      <c r="UA27" s="40"/>
      <c r="UB27" s="40"/>
      <c r="UC27" s="40"/>
      <c r="UD27" s="40"/>
      <c r="UE27" s="40"/>
      <c r="UF27" s="40"/>
      <c r="UG27" s="40"/>
      <c r="UH27" s="40"/>
      <c r="UI27" s="40"/>
      <c r="UJ27" s="40"/>
      <c r="UK27" s="40"/>
      <c r="UL27" s="40"/>
      <c r="UM27" s="40"/>
      <c r="UN27" s="40"/>
      <c r="UO27" s="40"/>
      <c r="UP27" s="40"/>
      <c r="UQ27" s="40"/>
      <c r="UR27" s="40"/>
      <c r="US27" s="40"/>
      <c r="UT27" s="40"/>
      <c r="UU27" s="40"/>
      <c r="UV27" s="40"/>
      <c r="UW27" s="40"/>
      <c r="UX27" s="40"/>
      <c r="UY27" s="40"/>
      <c r="UZ27" s="40"/>
      <c r="VA27" s="40"/>
      <c r="VB27" s="40"/>
      <c r="VC27" s="40"/>
      <c r="VD27" s="40"/>
      <c r="VE27" s="40"/>
      <c r="VF27" s="40"/>
      <c r="VG27" s="40"/>
      <c r="VH27" s="40"/>
      <c r="VI27" s="40"/>
      <c r="VJ27" s="40"/>
      <c r="VK27" s="40"/>
      <c r="VL27" s="40"/>
      <c r="VM27" s="40"/>
      <c r="VN27" s="40"/>
      <c r="VO27" s="40"/>
      <c r="VP27" s="40"/>
      <c r="VQ27" s="40"/>
      <c r="VR27" s="40"/>
      <c r="VS27" s="40"/>
      <c r="VT27" s="40"/>
      <c r="VU27" s="40"/>
      <c r="VV27" s="40"/>
      <c r="VW27" s="40"/>
      <c r="VX27" s="40"/>
      <c r="VY27" s="40"/>
      <c r="VZ27" s="40"/>
      <c r="WA27" s="40"/>
      <c r="WB27" s="40"/>
      <c r="WC27" s="40"/>
      <c r="WD27" s="40"/>
      <c r="WE27" s="40"/>
      <c r="WF27" s="40"/>
      <c r="WG27" s="40"/>
      <c r="WH27" s="40"/>
      <c r="WI27" s="40"/>
      <c r="WJ27" s="40"/>
      <c r="WK27" s="40"/>
      <c r="WL27" s="40"/>
      <c r="WM27" s="40"/>
      <c r="WN27" s="40"/>
      <c r="WO27" s="40"/>
      <c r="WP27" s="40"/>
      <c r="WQ27" s="40"/>
      <c r="WR27" s="40"/>
      <c r="WS27" s="40"/>
      <c r="WT27" s="40"/>
      <c r="WU27" s="40"/>
      <c r="WV27" s="40"/>
      <c r="WW27" s="40"/>
      <c r="WX27" s="40"/>
      <c r="WY27" s="40"/>
      <c r="WZ27" s="40"/>
      <c r="XA27" s="40"/>
      <c r="XB27" s="40"/>
      <c r="XC27" s="40"/>
      <c r="XD27" s="40"/>
      <c r="XE27" s="40"/>
      <c r="XF27" s="40"/>
      <c r="XG27" s="40"/>
      <c r="XH27" s="40"/>
      <c r="XI27" s="40"/>
      <c r="XJ27" s="40"/>
      <c r="XK27" s="40"/>
      <c r="XL27" s="40"/>
      <c r="XM27" s="40"/>
      <c r="XN27" s="40"/>
      <c r="XO27" s="40"/>
      <c r="XP27" s="40"/>
      <c r="XQ27" s="40"/>
      <c r="XR27" s="40"/>
      <c r="XS27" s="40"/>
      <c r="XT27" s="40"/>
      <c r="XU27" s="40"/>
      <c r="XV27" s="40"/>
      <c r="XW27" s="40"/>
      <c r="XX27" s="40"/>
      <c r="XY27" s="40"/>
      <c r="XZ27" s="40"/>
      <c r="YA27" s="40"/>
      <c r="YB27" s="40"/>
      <c r="YC27" s="40"/>
      <c r="YD27" s="40"/>
      <c r="YE27" s="40"/>
      <c r="YF27" s="40"/>
      <c r="YG27" s="40"/>
      <c r="YH27" s="40"/>
      <c r="YI27" s="40"/>
      <c r="YJ27" s="40"/>
      <c r="YK27" s="40"/>
      <c r="YL27" s="40"/>
      <c r="YM27" s="40"/>
      <c r="YN27" s="40"/>
      <c r="YO27" s="40"/>
      <c r="YP27" s="40"/>
      <c r="YQ27" s="40"/>
      <c r="YR27" s="40"/>
      <c r="YS27" s="40"/>
      <c r="YT27" s="40"/>
      <c r="YU27" s="40"/>
      <c r="YV27" s="40"/>
      <c r="YW27" s="40"/>
      <c r="YX27" s="40"/>
      <c r="YY27" s="40"/>
      <c r="YZ27" s="40"/>
      <c r="ZA27" s="40"/>
      <c r="ZB27" s="40"/>
      <c r="ZC27" s="40"/>
      <c r="ZD27" s="40"/>
      <c r="ZE27" s="40"/>
      <c r="ZF27" s="40"/>
      <c r="ZG27" s="40"/>
      <c r="ZH27" s="40"/>
      <c r="ZI27" s="40"/>
      <c r="ZJ27" s="40"/>
      <c r="ZK27" s="40"/>
      <c r="ZL27" s="40"/>
      <c r="ZM27" s="40"/>
      <c r="ZN27" s="40"/>
      <c r="ZO27" s="40"/>
      <c r="ZP27" s="40"/>
      <c r="ZQ27" s="40"/>
      <c r="ZR27" s="40"/>
      <c r="ZS27" s="40"/>
      <c r="ZT27" s="40"/>
      <c r="ZU27" s="40"/>
      <c r="ZV27" s="40"/>
      <c r="ZW27" s="40"/>
      <c r="ZX27" s="40"/>
      <c r="ZY27" s="40"/>
      <c r="ZZ27" s="40"/>
      <c r="AAA27" s="40"/>
      <c r="AAB27" s="40"/>
      <c r="AAC27" s="40"/>
      <c r="AAD27" s="40"/>
      <c r="AAE27" s="40"/>
      <c r="AAF27" s="40"/>
      <c r="AAG27" s="40"/>
      <c r="AAH27" s="40"/>
      <c r="AAI27" s="40"/>
      <c r="AAJ27" s="40"/>
      <c r="AAK27" s="40"/>
      <c r="AAL27" s="40"/>
      <c r="AAM27" s="40"/>
      <c r="AAN27" s="40"/>
      <c r="AAO27" s="40"/>
      <c r="AAP27" s="40"/>
      <c r="AAQ27" s="40"/>
      <c r="AAR27" s="40"/>
      <c r="AAS27" s="40"/>
      <c r="AAT27" s="40"/>
      <c r="AAU27" s="40"/>
      <c r="AAV27" s="40"/>
      <c r="AAW27" s="40"/>
      <c r="AAX27" s="40"/>
      <c r="AAY27" s="40"/>
      <c r="AAZ27" s="40"/>
      <c r="ABA27" s="40"/>
      <c r="ABB27" s="40"/>
      <c r="ABC27" s="40"/>
      <c r="ABD27" s="40"/>
      <c r="ABE27" s="40"/>
      <c r="ABF27" s="40"/>
      <c r="ABG27" s="40"/>
      <c r="ABH27" s="40"/>
      <c r="ABI27" s="40"/>
      <c r="ABJ27" s="40"/>
      <c r="ABK27" s="40"/>
      <c r="ABL27" s="40"/>
      <c r="ABM27" s="40"/>
      <c r="ABN27" s="40"/>
      <c r="ABO27" s="40"/>
      <c r="ABP27" s="40"/>
      <c r="ABQ27" s="40"/>
      <c r="ABR27" s="40"/>
      <c r="ABS27" s="40"/>
      <c r="ABT27" s="40"/>
      <c r="ABU27" s="40"/>
      <c r="ABV27" s="40"/>
      <c r="ABW27" s="40"/>
      <c r="ABX27" s="40"/>
      <c r="ABY27" s="40"/>
      <c r="ABZ27" s="40"/>
      <c r="ACA27" s="40"/>
      <c r="ACB27" s="40"/>
      <c r="ACC27" s="40"/>
      <c r="ACD27" s="40"/>
      <c r="ACE27" s="40"/>
      <c r="ACF27" s="40"/>
      <c r="ACG27" s="40"/>
      <c r="ACH27" s="40"/>
      <c r="ACI27" s="40"/>
      <c r="ACJ27" s="40"/>
      <c r="ACK27" s="40"/>
      <c r="ACL27" s="40"/>
      <c r="ACM27" s="40"/>
      <c r="ACN27" s="40"/>
      <c r="ACO27" s="40"/>
      <c r="ACP27" s="40"/>
      <c r="ACQ27" s="40"/>
      <c r="ACR27" s="40"/>
      <c r="ACS27" s="40"/>
      <c r="ACT27" s="40"/>
      <c r="ACU27" s="40"/>
      <c r="ACV27" s="40"/>
      <c r="ACW27" s="40"/>
      <c r="ACX27" s="40"/>
      <c r="ACY27" s="40"/>
      <c r="ACZ27" s="40"/>
      <c r="ADA27" s="40"/>
      <c r="ADB27" s="40"/>
      <c r="ADC27" s="40"/>
      <c r="ADD27" s="40"/>
      <c r="ADE27" s="40"/>
      <c r="ADF27" s="40"/>
      <c r="ADG27" s="40"/>
      <c r="ADH27" s="40"/>
      <c r="ADI27" s="40"/>
      <c r="ADJ27" s="40"/>
      <c r="ADK27" s="40"/>
      <c r="ADL27" s="40"/>
      <c r="ADM27" s="40"/>
      <c r="ADN27" s="40"/>
      <c r="ADO27" s="40"/>
      <c r="ADP27" s="40"/>
      <c r="ADQ27" s="40"/>
      <c r="ADR27" s="40"/>
      <c r="ADS27" s="40"/>
      <c r="ADT27" s="40"/>
      <c r="ADU27" s="40"/>
      <c r="ADV27" s="40"/>
      <c r="ADW27" s="40"/>
      <c r="ADX27" s="40"/>
      <c r="ADY27" s="40"/>
      <c r="ADZ27" s="40"/>
      <c r="AEA27" s="40"/>
      <c r="AEB27" s="40"/>
      <c r="AEC27" s="40"/>
      <c r="AED27" s="40"/>
      <c r="AEE27" s="40"/>
      <c r="AEF27" s="40"/>
      <c r="AEG27" s="40"/>
      <c r="AEH27" s="40"/>
      <c r="AEI27" s="40"/>
      <c r="AEJ27" s="40"/>
      <c r="AEK27" s="40"/>
      <c r="AEL27" s="40"/>
      <c r="AEM27" s="40"/>
      <c r="AEN27" s="40"/>
      <c r="AEO27" s="40"/>
      <c r="AEP27" s="40"/>
      <c r="AEQ27" s="40"/>
      <c r="AER27" s="40"/>
      <c r="AES27" s="40"/>
      <c r="AET27" s="40"/>
      <c r="AEU27" s="40"/>
      <c r="AEV27" s="40"/>
      <c r="AEW27" s="40"/>
      <c r="AEX27" s="40"/>
      <c r="AEY27" s="40"/>
      <c r="AEZ27" s="40"/>
      <c r="AFA27" s="40"/>
      <c r="AFB27" s="40"/>
      <c r="AFC27" s="40"/>
      <c r="AFD27" s="40"/>
      <c r="AFE27" s="40"/>
      <c r="AFF27" s="40"/>
      <c r="AFG27" s="40"/>
      <c r="AFH27" s="40"/>
      <c r="AFI27" s="40"/>
      <c r="AFJ27" s="40"/>
      <c r="AFK27" s="40"/>
      <c r="AFL27" s="40"/>
      <c r="AFM27" s="40"/>
      <c r="AFN27" s="40"/>
      <c r="AFO27" s="40"/>
      <c r="AFP27" s="40"/>
      <c r="AFQ27" s="40"/>
      <c r="AFR27" s="40"/>
      <c r="AFS27" s="40"/>
      <c r="AFT27" s="40"/>
      <c r="AFU27" s="40"/>
      <c r="AFV27" s="40"/>
      <c r="AFW27" s="40"/>
      <c r="AFX27" s="40"/>
      <c r="AFY27" s="40"/>
      <c r="AFZ27" s="40"/>
      <c r="AGA27" s="40"/>
      <c r="AGB27" s="40"/>
      <c r="AGC27" s="40"/>
      <c r="AGD27" s="40"/>
      <c r="AGE27" s="40"/>
      <c r="AGF27" s="40"/>
      <c r="AGG27" s="40"/>
      <c r="AGH27" s="40"/>
      <c r="AGI27" s="40"/>
      <c r="AGJ27" s="40"/>
      <c r="AGK27" s="40"/>
      <c r="AGL27" s="40"/>
      <c r="AGM27" s="40"/>
      <c r="AGN27" s="40"/>
      <c r="AGO27" s="40"/>
      <c r="AGP27" s="40"/>
      <c r="AGQ27" s="40"/>
      <c r="AGR27" s="40"/>
      <c r="AGS27" s="40"/>
      <c r="AGT27" s="40"/>
      <c r="AGU27" s="40"/>
      <c r="AGV27" s="40"/>
      <c r="AGW27" s="40"/>
      <c r="AGX27" s="40"/>
      <c r="AGY27" s="40"/>
      <c r="AGZ27" s="40"/>
      <c r="AHA27" s="40"/>
      <c r="AHB27" s="40"/>
      <c r="AHC27" s="40"/>
      <c r="AHD27" s="40"/>
      <c r="AHE27" s="40"/>
      <c r="AHF27" s="40"/>
      <c r="AHG27" s="40"/>
      <c r="AHH27" s="40"/>
      <c r="AHI27" s="40"/>
      <c r="AHJ27" s="40"/>
      <c r="AHK27" s="40"/>
      <c r="AHL27" s="40"/>
      <c r="AHM27" s="40"/>
      <c r="AHN27" s="40"/>
      <c r="AHO27" s="40"/>
      <c r="AHP27" s="40"/>
      <c r="AHQ27" s="40"/>
      <c r="AHR27" s="40"/>
      <c r="AHS27" s="40"/>
      <c r="AHT27" s="40"/>
      <c r="AHU27" s="40"/>
      <c r="AHV27" s="40"/>
      <c r="AHW27" s="40"/>
      <c r="AHX27" s="40"/>
      <c r="AHY27" s="40"/>
      <c r="AHZ27" s="40"/>
      <c r="AIA27" s="40"/>
      <c r="AIB27" s="40"/>
      <c r="AIC27" s="40"/>
      <c r="AID27" s="40"/>
      <c r="AIE27" s="40"/>
      <c r="AIF27" s="40"/>
      <c r="AIG27" s="40"/>
      <c r="AIH27" s="40"/>
      <c r="AII27" s="40"/>
      <c r="AIJ27" s="40"/>
      <c r="AIK27" s="40"/>
      <c r="AIL27" s="40"/>
      <c r="AIM27" s="40"/>
      <c r="AIN27" s="40"/>
      <c r="AIO27" s="40"/>
      <c r="AIP27" s="40"/>
      <c r="AIQ27" s="40"/>
      <c r="AIR27" s="40"/>
      <c r="AIS27" s="40"/>
      <c r="AIT27" s="40"/>
      <c r="AIU27" s="40"/>
      <c r="AIV27" s="40"/>
      <c r="AIW27" s="40"/>
      <c r="AIX27" s="40"/>
      <c r="AIY27" s="40"/>
      <c r="AIZ27" s="40"/>
      <c r="AJA27" s="40"/>
      <c r="AJB27" s="40"/>
      <c r="AJC27" s="40"/>
      <c r="AJD27" s="40"/>
      <c r="AJE27" s="40"/>
      <c r="AJF27" s="40"/>
      <c r="AJG27" s="40"/>
      <c r="AJH27" s="40"/>
      <c r="AJI27" s="40"/>
      <c r="AJJ27" s="40"/>
      <c r="AJK27" s="40"/>
      <c r="AJL27" s="40"/>
      <c r="AJM27" s="40"/>
      <c r="AJN27" s="40"/>
      <c r="AJO27" s="40"/>
      <c r="AJP27" s="40"/>
      <c r="AJQ27" s="40"/>
      <c r="AJR27" s="40"/>
      <c r="AJS27" s="40"/>
      <c r="AJT27" s="40"/>
      <c r="AJU27" s="40"/>
      <c r="AJV27" s="40"/>
      <c r="AJW27" s="40"/>
      <c r="AJX27" s="40"/>
      <c r="AJY27" s="40"/>
      <c r="AJZ27" s="40"/>
      <c r="AKA27" s="40"/>
      <c r="AKB27" s="40"/>
      <c r="AKC27" s="40"/>
      <c r="AKD27" s="40"/>
      <c r="AKE27" s="40"/>
      <c r="AKF27" s="40"/>
      <c r="AKG27" s="40"/>
      <c r="AKH27" s="40"/>
      <c r="AKI27" s="40"/>
      <c r="AKJ27" s="40"/>
      <c r="AKK27" s="40"/>
      <c r="AKL27" s="40"/>
      <c r="AKM27" s="40"/>
      <c r="AKN27" s="40"/>
      <c r="AKO27" s="40"/>
      <c r="AKP27" s="40"/>
      <c r="AKQ27" s="40"/>
      <c r="AKR27" s="40"/>
      <c r="AKS27" s="40"/>
      <c r="AKT27" s="40"/>
      <c r="AKU27" s="40"/>
      <c r="AKV27" s="40"/>
      <c r="AKW27" s="40"/>
      <c r="AKX27" s="40"/>
      <c r="AKY27" s="40"/>
      <c r="AKZ27" s="40"/>
      <c r="ALA27" s="40"/>
      <c r="ALB27" s="40"/>
      <c r="ALC27" s="40"/>
      <c r="ALD27" s="40"/>
      <c r="ALE27" s="40"/>
      <c r="ALF27" s="40"/>
      <c r="ALG27" s="40"/>
      <c r="ALH27" s="40"/>
      <c r="ALI27" s="40"/>
      <c r="ALJ27" s="40"/>
      <c r="ALK27" s="40"/>
      <c r="ALL27" s="40"/>
      <c r="ALM27" s="40"/>
      <c r="ALN27" s="40"/>
      <c r="ALO27" s="40"/>
      <c r="ALP27" s="40"/>
      <c r="ALQ27" s="40"/>
      <c r="ALR27" s="40"/>
      <c r="ALS27" s="40"/>
      <c r="ALT27" s="40"/>
      <c r="ALU27" s="40"/>
      <c r="ALV27" s="40"/>
      <c r="ALW27" s="40"/>
      <c r="ALX27" s="40"/>
      <c r="ALY27" s="40"/>
      <c r="ALZ27" s="40"/>
      <c r="AMA27" s="40"/>
      <c r="AMB27" s="40"/>
      <c r="AMC27" s="40"/>
      <c r="AMD27" s="40"/>
      <c r="AME27" s="40"/>
      <c r="AMF27" s="40"/>
      <c r="AMG27" s="40"/>
      <c r="AMH27" s="40"/>
      <c r="AMI27" s="40"/>
      <c r="AMJ27" s="40"/>
      <c r="AMK27" s="40"/>
      <c r="AML27" s="40"/>
      <c r="AMM27" s="40"/>
      <c r="AMN27" s="40"/>
    </row>
    <row r="28" spans="1:1028">
      <c r="A28" s="2" t="s">
        <v>38</v>
      </c>
      <c r="B28" s="2"/>
      <c r="E28" s="7"/>
      <c r="G28" s="23"/>
      <c r="H28" s="6"/>
      <c r="I28" s="6"/>
      <c r="J28" s="10"/>
      <c r="K28" s="10"/>
      <c r="M28" s="14"/>
      <c r="N28" s="21" t="s">
        <v>269</v>
      </c>
      <c r="O28" s="25"/>
    </row>
    <row r="29" spans="1:1028">
      <c r="A29" s="2" t="s">
        <v>38</v>
      </c>
      <c r="B29" s="2" t="s">
        <v>39</v>
      </c>
      <c r="C29" s="1" t="s">
        <v>270</v>
      </c>
      <c r="D29" s="1" t="s">
        <v>270</v>
      </c>
      <c r="E29" s="7" t="s">
        <v>271</v>
      </c>
      <c r="F29" s="1" t="s">
        <v>270</v>
      </c>
      <c r="G29" s="23" t="s">
        <v>272</v>
      </c>
      <c r="H29" s="6" t="s">
        <v>273</v>
      </c>
      <c r="I29" s="6" t="s">
        <v>274</v>
      </c>
      <c r="J29" s="10">
        <v>400</v>
      </c>
      <c r="K29" s="10">
        <v>400</v>
      </c>
      <c r="M29" s="14" t="s">
        <v>47</v>
      </c>
      <c r="N29" s="1" t="s">
        <v>270</v>
      </c>
      <c r="O29" s="25" t="s">
        <v>275</v>
      </c>
      <c r="P29" s="26" t="s">
        <v>276</v>
      </c>
      <c r="Q29" s="26" t="s">
        <v>277</v>
      </c>
      <c r="R29" s="26" t="s">
        <v>57</v>
      </c>
      <c r="S29" s="26" t="s">
        <v>278</v>
      </c>
      <c r="T29" s="26" t="s">
        <v>59</v>
      </c>
      <c r="U29" s="26" t="s">
        <v>140</v>
      </c>
      <c r="V29" s="26" t="s">
        <v>279</v>
      </c>
      <c r="W29" s="27" t="s">
        <v>280</v>
      </c>
      <c r="X29" s="26" t="s">
        <v>281</v>
      </c>
      <c r="Y29" s="26" t="s">
        <v>282</v>
      </c>
      <c r="AA29" s="26" t="s">
        <v>283</v>
      </c>
      <c r="AB29" s="26" t="s">
        <v>284</v>
      </c>
      <c r="AC29" s="26" t="s">
        <v>285</v>
      </c>
      <c r="AD29" s="26" t="s">
        <v>286</v>
      </c>
      <c r="AE29" s="26" t="s">
        <v>287</v>
      </c>
      <c r="AF29" s="26" t="s">
        <v>288</v>
      </c>
      <c r="AG29" s="26" t="s">
        <v>289</v>
      </c>
      <c r="AH29" s="26" t="s">
        <v>290</v>
      </c>
    </row>
    <row r="30" spans="1:1028">
      <c r="A30" s="2" t="s">
        <v>38</v>
      </c>
      <c r="B30" s="2"/>
      <c r="E30" s="7"/>
      <c r="G30" s="23"/>
      <c r="H30" s="6"/>
      <c r="I30" s="6"/>
      <c r="J30" s="10"/>
      <c r="K30" s="10"/>
      <c r="M30" s="14"/>
      <c r="N30" s="1" t="s">
        <v>291</v>
      </c>
      <c r="O30" s="25" t="s">
        <v>292</v>
      </c>
      <c r="P30" s="26" t="s">
        <v>276</v>
      </c>
      <c r="Q30" s="26" t="s">
        <v>293</v>
      </c>
      <c r="R30" s="26" t="s">
        <v>57</v>
      </c>
      <c r="S30" s="26" t="s">
        <v>294</v>
      </c>
      <c r="T30" s="26" t="s">
        <v>59</v>
      </c>
      <c r="U30" s="26" t="s">
        <v>140</v>
      </c>
      <c r="V30" s="26" t="s">
        <v>295</v>
      </c>
      <c r="W30" s="27" t="s">
        <v>296</v>
      </c>
      <c r="X30" s="26" t="s">
        <v>63</v>
      </c>
      <c r="Y30" s="26" t="s">
        <v>297</v>
      </c>
      <c r="AA30" s="26" t="s">
        <v>283</v>
      </c>
      <c r="AB30" s="26" t="s">
        <v>260</v>
      </c>
      <c r="AC30" s="26" t="s">
        <v>298</v>
      </c>
      <c r="AD30" s="26" t="s">
        <v>299</v>
      </c>
      <c r="AE30" s="26" t="s">
        <v>300</v>
      </c>
      <c r="AF30" s="26" t="s">
        <v>301</v>
      </c>
      <c r="AG30" s="26" t="s">
        <v>302</v>
      </c>
      <c r="AH30" s="26" t="s">
        <v>215</v>
      </c>
    </row>
    <row r="31" spans="1:1028">
      <c r="A31" s="2" t="s">
        <v>38</v>
      </c>
      <c r="B31" s="2"/>
      <c r="E31" s="7"/>
      <c r="G31" s="23"/>
      <c r="H31" s="6"/>
      <c r="I31" s="6"/>
      <c r="J31" s="10"/>
      <c r="K31" s="10"/>
      <c r="M31" s="14"/>
      <c r="N31" s="1" t="s">
        <v>303</v>
      </c>
      <c r="O31" s="25" t="s">
        <v>304</v>
      </c>
      <c r="P31" s="26" t="s">
        <v>174</v>
      </c>
      <c r="Q31" s="26" t="s">
        <v>305</v>
      </c>
      <c r="R31" s="26" t="s">
        <v>57</v>
      </c>
      <c r="S31" s="26" t="s">
        <v>306</v>
      </c>
      <c r="T31" s="26" t="s">
        <v>59</v>
      </c>
      <c r="U31" s="26" t="s">
        <v>140</v>
      </c>
      <c r="V31" s="26" t="s">
        <v>307</v>
      </c>
      <c r="W31" s="27" t="s">
        <v>308</v>
      </c>
      <c r="X31" s="26" t="s">
        <v>309</v>
      </c>
      <c r="Y31" s="26" t="s">
        <v>310</v>
      </c>
      <c r="AA31" s="26" t="s">
        <v>283</v>
      </c>
      <c r="AB31" s="26" t="s">
        <v>311</v>
      </c>
      <c r="AC31" s="26" t="s">
        <v>220</v>
      </c>
      <c r="AD31" s="26" t="s">
        <v>281</v>
      </c>
      <c r="AE31" s="26" t="s">
        <v>312</v>
      </c>
      <c r="AF31" s="26" t="s">
        <v>313</v>
      </c>
      <c r="AG31" s="26" t="s">
        <v>314</v>
      </c>
      <c r="AH31" s="26" t="s">
        <v>315</v>
      </c>
    </row>
    <row r="32" spans="1:1028" s="47" customFormat="1">
      <c r="A32" s="2" t="s">
        <v>38</v>
      </c>
      <c r="B32" s="39" t="s">
        <v>39</v>
      </c>
      <c r="C32" s="40" t="s">
        <v>316</v>
      </c>
      <c r="D32" s="40" t="s">
        <v>316</v>
      </c>
      <c r="E32" s="41" t="s">
        <v>271</v>
      </c>
      <c r="F32" s="40" t="s">
        <v>316</v>
      </c>
      <c r="G32" s="42" t="s">
        <v>272</v>
      </c>
      <c r="H32" s="43" t="s">
        <v>317</v>
      </c>
      <c r="I32" s="43" t="s">
        <v>274</v>
      </c>
      <c r="J32" s="44">
        <v>400</v>
      </c>
      <c r="K32" s="44">
        <v>400</v>
      </c>
      <c r="L32" s="40"/>
      <c r="M32" s="45" t="s">
        <v>47</v>
      </c>
      <c r="N32" s="40" t="s">
        <v>316</v>
      </c>
      <c r="O32" s="46" t="s">
        <v>318</v>
      </c>
      <c r="P32" s="46" t="s">
        <v>174</v>
      </c>
      <c r="Q32" s="46" t="s">
        <v>319</v>
      </c>
      <c r="R32" s="46" t="s">
        <v>176</v>
      </c>
      <c r="S32" s="46" t="s">
        <v>320</v>
      </c>
      <c r="T32" s="46" t="s">
        <v>59</v>
      </c>
      <c r="U32" s="46" t="s">
        <v>321</v>
      </c>
      <c r="V32" s="46" t="s">
        <v>322</v>
      </c>
      <c r="W32" s="27" t="s">
        <v>323</v>
      </c>
      <c r="X32" s="46" t="s">
        <v>324</v>
      </c>
      <c r="Y32" s="46" t="s">
        <v>325</v>
      </c>
      <c r="Z32" s="46"/>
      <c r="AA32" s="46" t="s">
        <v>326</v>
      </c>
      <c r="AB32" s="46" t="s">
        <v>327</v>
      </c>
      <c r="AC32" s="46" t="s">
        <v>328</v>
      </c>
      <c r="AD32" s="46" t="s">
        <v>329</v>
      </c>
      <c r="AE32" s="46" t="s">
        <v>218</v>
      </c>
      <c r="AF32" s="46" t="s">
        <v>330</v>
      </c>
      <c r="AG32" s="46" t="s">
        <v>331</v>
      </c>
      <c r="AH32" s="46" t="s">
        <v>332</v>
      </c>
      <c r="AI32" s="46"/>
      <c r="AJ32" s="46" t="s">
        <v>333</v>
      </c>
      <c r="AK32" s="46" t="s">
        <v>334</v>
      </c>
      <c r="AL32" s="46" t="s">
        <v>335</v>
      </c>
      <c r="AM32" s="46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  <c r="KO32" s="40"/>
      <c r="KP32" s="40"/>
      <c r="KQ32" s="40"/>
      <c r="KR32" s="40"/>
      <c r="KS32" s="40"/>
      <c r="KT32" s="40"/>
      <c r="KU32" s="40"/>
      <c r="KV32" s="40"/>
      <c r="KW32" s="40"/>
      <c r="KX32" s="40"/>
      <c r="KY32" s="40"/>
      <c r="KZ32" s="40"/>
      <c r="LA32" s="40"/>
      <c r="LB32" s="40"/>
      <c r="LC32" s="40"/>
      <c r="LD32" s="40"/>
      <c r="LE32" s="40"/>
      <c r="LF32" s="40"/>
      <c r="LG32" s="40"/>
      <c r="LH32" s="40"/>
      <c r="LI32" s="40"/>
      <c r="LJ32" s="40"/>
      <c r="LK32" s="40"/>
      <c r="LL32" s="40"/>
      <c r="LM32" s="40"/>
      <c r="LN32" s="40"/>
      <c r="LO32" s="40"/>
      <c r="LP32" s="40"/>
      <c r="LQ32" s="40"/>
      <c r="LR32" s="40"/>
      <c r="LS32" s="40"/>
      <c r="LT32" s="40"/>
      <c r="LU32" s="40"/>
      <c r="LV32" s="40"/>
      <c r="LW32" s="40"/>
      <c r="LX32" s="40"/>
      <c r="LY32" s="40"/>
      <c r="LZ32" s="40"/>
      <c r="MA32" s="40"/>
      <c r="MB32" s="40"/>
      <c r="MC32" s="40"/>
      <c r="MD32" s="40"/>
      <c r="ME32" s="40"/>
      <c r="MF32" s="40"/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  <c r="MV32" s="40"/>
      <c r="MW32" s="40"/>
      <c r="MX32" s="40"/>
      <c r="MY32" s="40"/>
      <c r="MZ32" s="40"/>
      <c r="NA32" s="40"/>
      <c r="NB32" s="40"/>
      <c r="NC32" s="40"/>
      <c r="ND32" s="40"/>
      <c r="NE32" s="40"/>
      <c r="NF32" s="40"/>
      <c r="NG32" s="40"/>
      <c r="NH32" s="40"/>
      <c r="NI32" s="40"/>
      <c r="NJ32" s="40"/>
      <c r="NK32" s="40"/>
      <c r="NL32" s="40"/>
      <c r="NM32" s="40"/>
      <c r="NN32" s="40"/>
      <c r="NO32" s="40"/>
      <c r="NP32" s="40"/>
      <c r="NQ32" s="40"/>
      <c r="NR32" s="40"/>
      <c r="NS32" s="40"/>
      <c r="NT32" s="40"/>
      <c r="NU32" s="40"/>
      <c r="NV32" s="40"/>
      <c r="NW32" s="40"/>
      <c r="NX32" s="40"/>
      <c r="NY32" s="40"/>
      <c r="NZ32" s="40"/>
      <c r="OA32" s="40"/>
      <c r="OB32" s="40"/>
      <c r="OC32" s="40"/>
      <c r="OD32" s="40"/>
      <c r="OE32" s="40"/>
      <c r="OF32" s="40"/>
      <c r="OG32" s="40"/>
      <c r="OH32" s="40"/>
      <c r="OI32" s="40"/>
      <c r="OJ32" s="40"/>
      <c r="OK32" s="40"/>
      <c r="OL32" s="40"/>
      <c r="OM32" s="40"/>
      <c r="ON32" s="40"/>
      <c r="OO32" s="40"/>
      <c r="OP32" s="40"/>
      <c r="OQ32" s="40"/>
      <c r="OR32" s="40"/>
      <c r="OS32" s="40"/>
      <c r="OT32" s="40"/>
      <c r="OU32" s="40"/>
      <c r="OV32" s="40"/>
      <c r="OW32" s="40"/>
      <c r="OX32" s="40"/>
      <c r="OY32" s="40"/>
      <c r="OZ32" s="40"/>
      <c r="PA32" s="40"/>
      <c r="PB32" s="40"/>
      <c r="PC32" s="40"/>
      <c r="PD32" s="40"/>
      <c r="PE32" s="40"/>
      <c r="PF32" s="40"/>
      <c r="PG32" s="40"/>
      <c r="PH32" s="40"/>
      <c r="PI32" s="40"/>
      <c r="PJ32" s="40"/>
      <c r="PK32" s="40"/>
      <c r="PL32" s="40"/>
      <c r="PM32" s="40"/>
      <c r="PN32" s="40"/>
      <c r="PO32" s="40"/>
      <c r="PP32" s="40"/>
      <c r="PQ32" s="40"/>
      <c r="PR32" s="40"/>
      <c r="PS32" s="40"/>
      <c r="PT32" s="40"/>
      <c r="PU32" s="40"/>
      <c r="PV32" s="40"/>
      <c r="PW32" s="40"/>
      <c r="PX32" s="40"/>
      <c r="PY32" s="40"/>
      <c r="PZ32" s="40"/>
      <c r="QA32" s="40"/>
      <c r="QB32" s="40"/>
      <c r="QC32" s="40"/>
      <c r="QD32" s="40"/>
      <c r="QE32" s="40"/>
      <c r="QF32" s="40"/>
      <c r="QG32" s="40"/>
      <c r="QH32" s="40"/>
      <c r="QI32" s="40"/>
      <c r="QJ32" s="40"/>
      <c r="QK32" s="40"/>
      <c r="QL32" s="40"/>
      <c r="QM32" s="40"/>
      <c r="QN32" s="40"/>
      <c r="QO32" s="40"/>
      <c r="QP32" s="40"/>
      <c r="QQ32" s="40"/>
      <c r="QR32" s="40"/>
      <c r="QS32" s="40"/>
      <c r="QT32" s="40"/>
      <c r="QU32" s="40"/>
      <c r="QV32" s="40"/>
      <c r="QW32" s="40"/>
      <c r="QX32" s="40"/>
      <c r="QY32" s="40"/>
      <c r="QZ32" s="40"/>
      <c r="RA32" s="40"/>
      <c r="RB32" s="40"/>
      <c r="RC32" s="40"/>
      <c r="RD32" s="40"/>
      <c r="RE32" s="40"/>
      <c r="RF32" s="40"/>
      <c r="RG32" s="40"/>
      <c r="RH32" s="40"/>
      <c r="RI32" s="40"/>
      <c r="RJ32" s="40"/>
      <c r="RK32" s="40"/>
      <c r="RL32" s="40"/>
      <c r="RM32" s="40"/>
      <c r="RN32" s="40"/>
      <c r="RO32" s="40"/>
      <c r="RP32" s="40"/>
      <c r="RQ32" s="40"/>
      <c r="RR32" s="40"/>
      <c r="RS32" s="40"/>
      <c r="RT32" s="40"/>
      <c r="RU32" s="40"/>
      <c r="RV32" s="40"/>
      <c r="RW32" s="40"/>
      <c r="RX32" s="40"/>
      <c r="RY32" s="40"/>
      <c r="RZ32" s="40"/>
      <c r="SA32" s="40"/>
      <c r="SB32" s="40"/>
      <c r="SC32" s="40"/>
      <c r="SD32" s="40"/>
      <c r="SE32" s="40"/>
      <c r="SF32" s="40"/>
      <c r="SG32" s="40"/>
      <c r="SH32" s="40"/>
      <c r="SI32" s="40"/>
      <c r="SJ32" s="40"/>
      <c r="SK32" s="40"/>
      <c r="SL32" s="40"/>
      <c r="SM32" s="40"/>
      <c r="SN32" s="40"/>
      <c r="SO32" s="40"/>
      <c r="SP32" s="40"/>
      <c r="SQ32" s="40"/>
      <c r="SR32" s="40"/>
      <c r="SS32" s="40"/>
      <c r="ST32" s="40"/>
      <c r="SU32" s="40"/>
      <c r="SV32" s="40"/>
      <c r="SW32" s="40"/>
      <c r="SX32" s="40"/>
      <c r="SY32" s="40"/>
      <c r="SZ32" s="40"/>
      <c r="TA32" s="40"/>
      <c r="TB32" s="40"/>
      <c r="TC32" s="40"/>
      <c r="TD32" s="40"/>
      <c r="TE32" s="40"/>
      <c r="TF32" s="40"/>
      <c r="TG32" s="40"/>
      <c r="TH32" s="40"/>
      <c r="TI32" s="40"/>
      <c r="TJ32" s="40"/>
      <c r="TK32" s="40"/>
      <c r="TL32" s="40"/>
      <c r="TM32" s="40"/>
      <c r="TN32" s="40"/>
      <c r="TO32" s="40"/>
      <c r="TP32" s="40"/>
      <c r="TQ32" s="40"/>
      <c r="TR32" s="40"/>
      <c r="TS32" s="40"/>
      <c r="TT32" s="40"/>
      <c r="TU32" s="40"/>
      <c r="TV32" s="40"/>
      <c r="TW32" s="40"/>
      <c r="TX32" s="40"/>
      <c r="TY32" s="40"/>
      <c r="TZ32" s="40"/>
      <c r="UA32" s="40"/>
      <c r="UB32" s="40"/>
      <c r="UC32" s="40"/>
      <c r="UD32" s="40"/>
      <c r="UE32" s="40"/>
      <c r="UF32" s="40"/>
      <c r="UG32" s="40"/>
      <c r="UH32" s="40"/>
      <c r="UI32" s="40"/>
      <c r="UJ32" s="40"/>
      <c r="UK32" s="40"/>
      <c r="UL32" s="40"/>
      <c r="UM32" s="40"/>
      <c r="UN32" s="40"/>
      <c r="UO32" s="40"/>
      <c r="UP32" s="40"/>
      <c r="UQ32" s="40"/>
      <c r="UR32" s="40"/>
      <c r="US32" s="40"/>
      <c r="UT32" s="40"/>
      <c r="UU32" s="40"/>
      <c r="UV32" s="40"/>
      <c r="UW32" s="40"/>
      <c r="UX32" s="40"/>
      <c r="UY32" s="40"/>
      <c r="UZ32" s="40"/>
      <c r="VA32" s="40"/>
      <c r="VB32" s="40"/>
      <c r="VC32" s="40"/>
      <c r="VD32" s="40"/>
      <c r="VE32" s="40"/>
      <c r="VF32" s="40"/>
      <c r="VG32" s="40"/>
      <c r="VH32" s="40"/>
      <c r="VI32" s="40"/>
      <c r="VJ32" s="40"/>
      <c r="VK32" s="40"/>
      <c r="VL32" s="40"/>
      <c r="VM32" s="40"/>
      <c r="VN32" s="40"/>
      <c r="VO32" s="40"/>
      <c r="VP32" s="40"/>
      <c r="VQ32" s="40"/>
      <c r="VR32" s="40"/>
      <c r="VS32" s="40"/>
      <c r="VT32" s="40"/>
      <c r="VU32" s="40"/>
      <c r="VV32" s="40"/>
      <c r="VW32" s="40"/>
      <c r="VX32" s="40"/>
      <c r="VY32" s="40"/>
      <c r="VZ32" s="40"/>
      <c r="WA32" s="40"/>
      <c r="WB32" s="40"/>
      <c r="WC32" s="40"/>
      <c r="WD32" s="40"/>
      <c r="WE32" s="40"/>
      <c r="WF32" s="40"/>
      <c r="WG32" s="40"/>
      <c r="WH32" s="40"/>
      <c r="WI32" s="40"/>
      <c r="WJ32" s="40"/>
      <c r="WK32" s="40"/>
      <c r="WL32" s="40"/>
      <c r="WM32" s="40"/>
      <c r="WN32" s="40"/>
      <c r="WO32" s="40"/>
      <c r="WP32" s="40"/>
      <c r="WQ32" s="40"/>
      <c r="WR32" s="40"/>
      <c r="WS32" s="40"/>
      <c r="WT32" s="40"/>
      <c r="WU32" s="40"/>
      <c r="WV32" s="40"/>
      <c r="WW32" s="40"/>
      <c r="WX32" s="40"/>
      <c r="WY32" s="40"/>
      <c r="WZ32" s="40"/>
      <c r="XA32" s="40"/>
      <c r="XB32" s="40"/>
      <c r="XC32" s="40"/>
      <c r="XD32" s="40"/>
      <c r="XE32" s="40"/>
      <c r="XF32" s="40"/>
      <c r="XG32" s="40"/>
      <c r="XH32" s="40"/>
      <c r="XI32" s="40"/>
      <c r="XJ32" s="40"/>
      <c r="XK32" s="40"/>
      <c r="XL32" s="40"/>
      <c r="XM32" s="40"/>
      <c r="XN32" s="40"/>
      <c r="XO32" s="40"/>
      <c r="XP32" s="40"/>
      <c r="XQ32" s="40"/>
      <c r="XR32" s="40"/>
      <c r="XS32" s="40"/>
      <c r="XT32" s="40"/>
      <c r="XU32" s="40"/>
      <c r="XV32" s="40"/>
      <c r="XW32" s="40"/>
      <c r="XX32" s="40"/>
      <c r="XY32" s="40"/>
      <c r="XZ32" s="40"/>
      <c r="YA32" s="40"/>
      <c r="YB32" s="40"/>
      <c r="YC32" s="40"/>
      <c r="YD32" s="40"/>
      <c r="YE32" s="40"/>
      <c r="YF32" s="40"/>
      <c r="YG32" s="40"/>
      <c r="YH32" s="40"/>
      <c r="YI32" s="40"/>
      <c r="YJ32" s="40"/>
      <c r="YK32" s="40"/>
      <c r="YL32" s="40"/>
      <c r="YM32" s="40"/>
      <c r="YN32" s="40"/>
      <c r="YO32" s="40"/>
      <c r="YP32" s="40"/>
      <c r="YQ32" s="40"/>
      <c r="YR32" s="40"/>
      <c r="YS32" s="40"/>
      <c r="YT32" s="40"/>
      <c r="YU32" s="40"/>
      <c r="YV32" s="40"/>
      <c r="YW32" s="40"/>
      <c r="YX32" s="40"/>
      <c r="YY32" s="40"/>
      <c r="YZ32" s="40"/>
      <c r="ZA32" s="40"/>
      <c r="ZB32" s="40"/>
      <c r="ZC32" s="40"/>
      <c r="ZD32" s="40"/>
      <c r="ZE32" s="40"/>
      <c r="ZF32" s="40"/>
      <c r="ZG32" s="40"/>
      <c r="ZH32" s="40"/>
      <c r="ZI32" s="40"/>
      <c r="ZJ32" s="40"/>
      <c r="ZK32" s="40"/>
      <c r="ZL32" s="40"/>
      <c r="ZM32" s="40"/>
      <c r="ZN32" s="40"/>
      <c r="ZO32" s="40"/>
      <c r="ZP32" s="40"/>
      <c r="ZQ32" s="40"/>
      <c r="ZR32" s="40"/>
      <c r="ZS32" s="40"/>
      <c r="ZT32" s="40"/>
      <c r="ZU32" s="40"/>
      <c r="ZV32" s="40"/>
      <c r="ZW32" s="40"/>
      <c r="ZX32" s="40"/>
      <c r="ZY32" s="40"/>
      <c r="ZZ32" s="40"/>
      <c r="AAA32" s="40"/>
      <c r="AAB32" s="40"/>
      <c r="AAC32" s="40"/>
      <c r="AAD32" s="40"/>
      <c r="AAE32" s="40"/>
      <c r="AAF32" s="40"/>
      <c r="AAG32" s="40"/>
      <c r="AAH32" s="40"/>
      <c r="AAI32" s="40"/>
      <c r="AAJ32" s="40"/>
      <c r="AAK32" s="40"/>
      <c r="AAL32" s="40"/>
      <c r="AAM32" s="40"/>
      <c r="AAN32" s="40"/>
      <c r="AAO32" s="40"/>
      <c r="AAP32" s="40"/>
      <c r="AAQ32" s="40"/>
      <c r="AAR32" s="40"/>
      <c r="AAS32" s="40"/>
      <c r="AAT32" s="40"/>
      <c r="AAU32" s="40"/>
      <c r="AAV32" s="40"/>
      <c r="AAW32" s="40"/>
      <c r="AAX32" s="40"/>
      <c r="AAY32" s="40"/>
      <c r="AAZ32" s="40"/>
      <c r="ABA32" s="40"/>
      <c r="ABB32" s="40"/>
      <c r="ABC32" s="40"/>
      <c r="ABD32" s="40"/>
      <c r="ABE32" s="40"/>
      <c r="ABF32" s="40"/>
      <c r="ABG32" s="40"/>
      <c r="ABH32" s="40"/>
      <c r="ABI32" s="40"/>
      <c r="ABJ32" s="40"/>
      <c r="ABK32" s="40"/>
      <c r="ABL32" s="40"/>
      <c r="ABM32" s="40"/>
      <c r="ABN32" s="40"/>
      <c r="ABO32" s="40"/>
      <c r="ABP32" s="40"/>
      <c r="ABQ32" s="40"/>
      <c r="ABR32" s="40"/>
      <c r="ABS32" s="40"/>
      <c r="ABT32" s="40"/>
      <c r="ABU32" s="40"/>
      <c r="ABV32" s="40"/>
      <c r="ABW32" s="40"/>
      <c r="ABX32" s="40"/>
      <c r="ABY32" s="40"/>
      <c r="ABZ32" s="40"/>
      <c r="ACA32" s="40"/>
      <c r="ACB32" s="40"/>
      <c r="ACC32" s="40"/>
      <c r="ACD32" s="40"/>
      <c r="ACE32" s="40"/>
      <c r="ACF32" s="40"/>
      <c r="ACG32" s="40"/>
      <c r="ACH32" s="40"/>
      <c r="ACI32" s="40"/>
      <c r="ACJ32" s="40"/>
      <c r="ACK32" s="40"/>
      <c r="ACL32" s="40"/>
      <c r="ACM32" s="40"/>
      <c r="ACN32" s="40"/>
      <c r="ACO32" s="40"/>
      <c r="ACP32" s="40"/>
      <c r="ACQ32" s="40"/>
      <c r="ACR32" s="40"/>
      <c r="ACS32" s="40"/>
      <c r="ACT32" s="40"/>
      <c r="ACU32" s="40"/>
      <c r="ACV32" s="40"/>
      <c r="ACW32" s="40"/>
      <c r="ACX32" s="40"/>
      <c r="ACY32" s="40"/>
      <c r="ACZ32" s="40"/>
      <c r="ADA32" s="40"/>
      <c r="ADB32" s="40"/>
      <c r="ADC32" s="40"/>
      <c r="ADD32" s="40"/>
      <c r="ADE32" s="40"/>
      <c r="ADF32" s="40"/>
      <c r="ADG32" s="40"/>
      <c r="ADH32" s="40"/>
      <c r="ADI32" s="40"/>
      <c r="ADJ32" s="40"/>
      <c r="ADK32" s="40"/>
      <c r="ADL32" s="40"/>
      <c r="ADM32" s="40"/>
      <c r="ADN32" s="40"/>
      <c r="ADO32" s="40"/>
      <c r="ADP32" s="40"/>
      <c r="ADQ32" s="40"/>
      <c r="ADR32" s="40"/>
      <c r="ADS32" s="40"/>
      <c r="ADT32" s="40"/>
      <c r="ADU32" s="40"/>
      <c r="ADV32" s="40"/>
      <c r="ADW32" s="40"/>
      <c r="ADX32" s="40"/>
      <c r="ADY32" s="40"/>
      <c r="ADZ32" s="40"/>
      <c r="AEA32" s="40"/>
      <c r="AEB32" s="40"/>
      <c r="AEC32" s="40"/>
      <c r="AED32" s="40"/>
      <c r="AEE32" s="40"/>
      <c r="AEF32" s="40"/>
      <c r="AEG32" s="40"/>
      <c r="AEH32" s="40"/>
      <c r="AEI32" s="40"/>
      <c r="AEJ32" s="40"/>
      <c r="AEK32" s="40"/>
      <c r="AEL32" s="40"/>
      <c r="AEM32" s="40"/>
      <c r="AEN32" s="40"/>
      <c r="AEO32" s="40"/>
      <c r="AEP32" s="40"/>
      <c r="AEQ32" s="40"/>
      <c r="AER32" s="40"/>
      <c r="AES32" s="40"/>
      <c r="AET32" s="40"/>
      <c r="AEU32" s="40"/>
      <c r="AEV32" s="40"/>
      <c r="AEW32" s="40"/>
      <c r="AEX32" s="40"/>
      <c r="AEY32" s="40"/>
      <c r="AEZ32" s="40"/>
      <c r="AFA32" s="40"/>
      <c r="AFB32" s="40"/>
      <c r="AFC32" s="40"/>
      <c r="AFD32" s="40"/>
      <c r="AFE32" s="40"/>
      <c r="AFF32" s="40"/>
      <c r="AFG32" s="40"/>
      <c r="AFH32" s="40"/>
      <c r="AFI32" s="40"/>
      <c r="AFJ32" s="40"/>
      <c r="AFK32" s="40"/>
      <c r="AFL32" s="40"/>
      <c r="AFM32" s="40"/>
      <c r="AFN32" s="40"/>
      <c r="AFO32" s="40"/>
      <c r="AFP32" s="40"/>
      <c r="AFQ32" s="40"/>
      <c r="AFR32" s="40"/>
      <c r="AFS32" s="40"/>
      <c r="AFT32" s="40"/>
      <c r="AFU32" s="40"/>
      <c r="AFV32" s="40"/>
      <c r="AFW32" s="40"/>
      <c r="AFX32" s="40"/>
      <c r="AFY32" s="40"/>
      <c r="AFZ32" s="40"/>
      <c r="AGA32" s="40"/>
      <c r="AGB32" s="40"/>
      <c r="AGC32" s="40"/>
      <c r="AGD32" s="40"/>
      <c r="AGE32" s="40"/>
      <c r="AGF32" s="40"/>
      <c r="AGG32" s="40"/>
      <c r="AGH32" s="40"/>
      <c r="AGI32" s="40"/>
      <c r="AGJ32" s="40"/>
      <c r="AGK32" s="40"/>
      <c r="AGL32" s="40"/>
      <c r="AGM32" s="40"/>
      <c r="AGN32" s="40"/>
      <c r="AGO32" s="40"/>
      <c r="AGP32" s="40"/>
      <c r="AGQ32" s="40"/>
      <c r="AGR32" s="40"/>
      <c r="AGS32" s="40"/>
      <c r="AGT32" s="40"/>
      <c r="AGU32" s="40"/>
      <c r="AGV32" s="40"/>
      <c r="AGW32" s="40"/>
      <c r="AGX32" s="40"/>
      <c r="AGY32" s="40"/>
      <c r="AGZ32" s="40"/>
      <c r="AHA32" s="40"/>
      <c r="AHB32" s="40"/>
      <c r="AHC32" s="40"/>
      <c r="AHD32" s="40"/>
      <c r="AHE32" s="40"/>
      <c r="AHF32" s="40"/>
      <c r="AHG32" s="40"/>
      <c r="AHH32" s="40"/>
      <c r="AHI32" s="40"/>
      <c r="AHJ32" s="40"/>
      <c r="AHK32" s="40"/>
      <c r="AHL32" s="40"/>
      <c r="AHM32" s="40"/>
      <c r="AHN32" s="40"/>
      <c r="AHO32" s="40"/>
      <c r="AHP32" s="40"/>
      <c r="AHQ32" s="40"/>
      <c r="AHR32" s="40"/>
      <c r="AHS32" s="40"/>
      <c r="AHT32" s="40"/>
      <c r="AHU32" s="40"/>
      <c r="AHV32" s="40"/>
      <c r="AHW32" s="40"/>
      <c r="AHX32" s="40"/>
      <c r="AHY32" s="40"/>
      <c r="AHZ32" s="40"/>
      <c r="AIA32" s="40"/>
      <c r="AIB32" s="40"/>
      <c r="AIC32" s="40"/>
      <c r="AID32" s="40"/>
      <c r="AIE32" s="40"/>
      <c r="AIF32" s="40"/>
      <c r="AIG32" s="40"/>
      <c r="AIH32" s="40"/>
      <c r="AII32" s="40"/>
      <c r="AIJ32" s="40"/>
      <c r="AIK32" s="40"/>
      <c r="AIL32" s="40"/>
      <c r="AIM32" s="40"/>
      <c r="AIN32" s="40"/>
      <c r="AIO32" s="40"/>
      <c r="AIP32" s="40"/>
      <c r="AIQ32" s="40"/>
      <c r="AIR32" s="40"/>
      <c r="AIS32" s="40"/>
      <c r="AIT32" s="40"/>
      <c r="AIU32" s="40"/>
      <c r="AIV32" s="40"/>
      <c r="AIW32" s="40"/>
      <c r="AIX32" s="40"/>
      <c r="AIY32" s="40"/>
      <c r="AIZ32" s="40"/>
      <c r="AJA32" s="40"/>
      <c r="AJB32" s="40"/>
      <c r="AJC32" s="40"/>
      <c r="AJD32" s="40"/>
      <c r="AJE32" s="40"/>
      <c r="AJF32" s="40"/>
      <c r="AJG32" s="40"/>
      <c r="AJH32" s="40"/>
      <c r="AJI32" s="40"/>
      <c r="AJJ32" s="40"/>
      <c r="AJK32" s="40"/>
      <c r="AJL32" s="40"/>
      <c r="AJM32" s="40"/>
      <c r="AJN32" s="40"/>
      <c r="AJO32" s="40"/>
      <c r="AJP32" s="40"/>
      <c r="AJQ32" s="40"/>
      <c r="AJR32" s="40"/>
      <c r="AJS32" s="40"/>
      <c r="AJT32" s="40"/>
      <c r="AJU32" s="40"/>
      <c r="AJV32" s="40"/>
      <c r="AJW32" s="40"/>
      <c r="AJX32" s="40"/>
      <c r="AJY32" s="40"/>
      <c r="AJZ32" s="40"/>
      <c r="AKA32" s="40"/>
      <c r="AKB32" s="40"/>
      <c r="AKC32" s="40"/>
      <c r="AKD32" s="40"/>
      <c r="AKE32" s="40"/>
      <c r="AKF32" s="40"/>
      <c r="AKG32" s="40"/>
      <c r="AKH32" s="40"/>
      <c r="AKI32" s="40"/>
      <c r="AKJ32" s="40"/>
      <c r="AKK32" s="40"/>
      <c r="AKL32" s="40"/>
      <c r="AKM32" s="40"/>
      <c r="AKN32" s="40"/>
      <c r="AKO32" s="40"/>
      <c r="AKP32" s="40"/>
      <c r="AKQ32" s="40"/>
      <c r="AKR32" s="40"/>
      <c r="AKS32" s="40"/>
      <c r="AKT32" s="40"/>
      <c r="AKU32" s="40"/>
      <c r="AKV32" s="40"/>
      <c r="AKW32" s="40"/>
      <c r="AKX32" s="40"/>
      <c r="AKY32" s="40"/>
      <c r="AKZ32" s="40"/>
      <c r="ALA32" s="40"/>
      <c r="ALB32" s="40"/>
      <c r="ALC32" s="40"/>
      <c r="ALD32" s="40"/>
      <c r="ALE32" s="40"/>
      <c r="ALF32" s="40"/>
      <c r="ALG32" s="40"/>
      <c r="ALH32" s="40"/>
      <c r="ALI32" s="40"/>
      <c r="ALJ32" s="40"/>
      <c r="ALK32" s="40"/>
      <c r="ALL32" s="40"/>
      <c r="ALM32" s="40"/>
      <c r="ALN32" s="40"/>
      <c r="ALO32" s="40"/>
      <c r="ALP32" s="40"/>
      <c r="ALQ32" s="40"/>
      <c r="ALR32" s="40"/>
      <c r="ALS32" s="40"/>
      <c r="ALT32" s="40"/>
      <c r="ALU32" s="40"/>
      <c r="ALV32" s="40"/>
      <c r="ALW32" s="40"/>
      <c r="ALX32" s="40"/>
      <c r="ALY32" s="40"/>
      <c r="ALZ32" s="40"/>
      <c r="AMA32" s="40"/>
      <c r="AMB32" s="40"/>
      <c r="AMC32" s="40"/>
      <c r="AMD32" s="40"/>
      <c r="AME32" s="40"/>
      <c r="AMF32" s="40"/>
      <c r="AMG32" s="40"/>
      <c r="AMH32" s="40"/>
      <c r="AMI32" s="40"/>
      <c r="AMJ32" s="40"/>
      <c r="AMK32" s="40"/>
      <c r="AML32" s="40"/>
      <c r="AMM32" s="40"/>
      <c r="AMN32" s="40"/>
    </row>
    <row r="33" spans="1:1028">
      <c r="A33" s="2" t="s">
        <v>38</v>
      </c>
      <c r="B33" s="2" t="s">
        <v>39</v>
      </c>
      <c r="C33" s="1" t="s">
        <v>336</v>
      </c>
      <c r="D33" s="1" t="s">
        <v>336</v>
      </c>
      <c r="E33" s="7" t="s">
        <v>271</v>
      </c>
      <c r="F33" s="1" t="s">
        <v>336</v>
      </c>
      <c r="G33" s="23" t="s">
        <v>272</v>
      </c>
      <c r="H33" s="51" t="s">
        <v>337</v>
      </c>
      <c r="I33" s="51" t="s">
        <v>274</v>
      </c>
      <c r="J33" s="52">
        <v>400</v>
      </c>
      <c r="K33" s="52">
        <v>400</v>
      </c>
      <c r="M33" s="14" t="s">
        <v>47</v>
      </c>
      <c r="N33" s="1" t="s">
        <v>336</v>
      </c>
      <c r="O33" s="25" t="s">
        <v>338</v>
      </c>
      <c r="P33" s="26" t="s">
        <v>55</v>
      </c>
      <c r="Q33" s="26" t="s">
        <v>339</v>
      </c>
      <c r="R33" s="26" t="s">
        <v>340</v>
      </c>
      <c r="S33" s="26" t="s">
        <v>341</v>
      </c>
      <c r="T33" s="26" t="s">
        <v>59</v>
      </c>
      <c r="U33" s="26" t="s">
        <v>140</v>
      </c>
      <c r="V33" s="26" t="s">
        <v>342</v>
      </c>
      <c r="W33" s="27" t="s">
        <v>343</v>
      </c>
      <c r="X33" s="26" t="s">
        <v>216</v>
      </c>
      <c r="Y33" s="26" t="s">
        <v>344</v>
      </c>
      <c r="AA33" s="26" t="s">
        <v>145</v>
      </c>
      <c r="AB33" s="26" t="s">
        <v>260</v>
      </c>
      <c r="AC33" s="26" t="s">
        <v>345</v>
      </c>
      <c r="AD33" s="26" t="s">
        <v>216</v>
      </c>
      <c r="AE33" s="26" t="s">
        <v>346</v>
      </c>
      <c r="AF33" s="26" t="s">
        <v>347</v>
      </c>
      <c r="AG33" s="26" t="s">
        <v>348</v>
      </c>
      <c r="AH33" s="26" t="s">
        <v>349</v>
      </c>
      <c r="AJ33" s="26" t="s">
        <v>350</v>
      </c>
      <c r="AK33" s="26" t="s">
        <v>351</v>
      </c>
    </row>
    <row r="34" spans="1:1028">
      <c r="A34" s="2" t="s">
        <v>38</v>
      </c>
      <c r="B34" s="2" t="s">
        <v>39</v>
      </c>
      <c r="C34" s="1" t="s">
        <v>352</v>
      </c>
      <c r="D34" s="1" t="s">
        <v>352</v>
      </c>
      <c r="E34" s="7" t="s">
        <v>271</v>
      </c>
      <c r="F34" s="1" t="s">
        <v>352</v>
      </c>
      <c r="G34" s="23" t="s">
        <v>272</v>
      </c>
      <c r="H34" s="6" t="s">
        <v>337</v>
      </c>
      <c r="I34" s="6" t="s">
        <v>274</v>
      </c>
      <c r="J34" s="10">
        <v>400</v>
      </c>
      <c r="K34" s="10">
        <v>400</v>
      </c>
      <c r="M34" s="14" t="s">
        <v>47</v>
      </c>
      <c r="N34" s="1" t="s">
        <v>352</v>
      </c>
      <c r="O34" s="25" t="s">
        <v>353</v>
      </c>
      <c r="P34" s="26" t="s">
        <v>55</v>
      </c>
      <c r="Q34" s="26" t="s">
        <v>354</v>
      </c>
      <c r="R34" s="26" t="s">
        <v>355</v>
      </c>
      <c r="S34" s="26" t="s">
        <v>356</v>
      </c>
      <c r="T34" s="26" t="s">
        <v>59</v>
      </c>
      <c r="U34" s="26" t="s">
        <v>140</v>
      </c>
      <c r="V34" s="26" t="s">
        <v>357</v>
      </c>
      <c r="W34" s="27" t="s">
        <v>358</v>
      </c>
      <c r="X34" s="26" t="s">
        <v>359</v>
      </c>
      <c r="Y34" s="26" t="s">
        <v>360</v>
      </c>
      <c r="AA34" s="26" t="s">
        <v>361</v>
      </c>
      <c r="AB34" s="26" t="s">
        <v>362</v>
      </c>
      <c r="AC34" s="26" t="s">
        <v>363</v>
      </c>
      <c r="AD34" s="26" t="s">
        <v>364</v>
      </c>
      <c r="AE34" s="26" t="s">
        <v>365</v>
      </c>
      <c r="AF34" s="26" t="s">
        <v>366</v>
      </c>
      <c r="AG34" s="26" t="s">
        <v>367</v>
      </c>
      <c r="AH34" s="26" t="s">
        <v>368</v>
      </c>
    </row>
    <row r="35" spans="1:1028">
      <c r="A35" s="2" t="s">
        <v>38</v>
      </c>
      <c r="B35" s="2" t="s">
        <v>39</v>
      </c>
      <c r="C35" s="1" t="s">
        <v>369</v>
      </c>
      <c r="D35" s="1" t="s">
        <v>369</v>
      </c>
      <c r="E35" s="7" t="s">
        <v>271</v>
      </c>
      <c r="F35" s="1" t="s">
        <v>369</v>
      </c>
      <c r="G35" s="23" t="s">
        <v>272</v>
      </c>
      <c r="H35" s="6" t="s">
        <v>337</v>
      </c>
      <c r="I35" s="6" t="s">
        <v>274</v>
      </c>
      <c r="J35" s="10">
        <v>400</v>
      </c>
      <c r="K35" s="10">
        <v>400</v>
      </c>
      <c r="M35" s="14" t="s">
        <v>47</v>
      </c>
      <c r="N35" s="1" t="s">
        <v>369</v>
      </c>
      <c r="O35" s="26" t="s">
        <v>370</v>
      </c>
    </row>
    <row r="36" spans="1:1028">
      <c r="A36" s="2" t="s">
        <v>38</v>
      </c>
      <c r="B36" s="2" t="s">
        <v>39</v>
      </c>
      <c r="C36" s="1" t="s">
        <v>129</v>
      </c>
      <c r="D36" s="1" t="s">
        <v>129</v>
      </c>
      <c r="E36" s="7" t="s">
        <v>271</v>
      </c>
      <c r="F36" s="1" t="s">
        <v>129</v>
      </c>
      <c r="G36" s="23" t="s">
        <v>272</v>
      </c>
      <c r="H36" s="6" t="s">
        <v>371</v>
      </c>
      <c r="I36" s="6" t="s">
        <v>274</v>
      </c>
      <c r="J36" s="10">
        <v>400</v>
      </c>
      <c r="K36" s="10">
        <v>400</v>
      </c>
      <c r="M36" s="14" t="s">
        <v>47</v>
      </c>
      <c r="N36" s="1" t="s">
        <v>129</v>
      </c>
      <c r="O36" s="25" t="s">
        <v>372</v>
      </c>
      <c r="P36" s="26" t="s">
        <v>174</v>
      </c>
      <c r="Q36" s="26" t="s">
        <v>373</v>
      </c>
      <c r="R36" s="26" t="s">
        <v>57</v>
      </c>
      <c r="S36" s="26" t="s">
        <v>374</v>
      </c>
      <c r="T36" s="26" t="s">
        <v>59</v>
      </c>
      <c r="U36" s="26" t="s">
        <v>140</v>
      </c>
      <c r="V36" s="26" t="s">
        <v>375</v>
      </c>
      <c r="W36" s="27" t="s">
        <v>376</v>
      </c>
      <c r="X36" s="26" t="s">
        <v>286</v>
      </c>
      <c r="Y36" s="26" t="s">
        <v>377</v>
      </c>
      <c r="AA36" s="26" t="s">
        <v>283</v>
      </c>
      <c r="AB36" s="26" t="s">
        <v>378</v>
      </c>
      <c r="AC36" s="26" t="s">
        <v>379</v>
      </c>
      <c r="AD36" s="26" t="s">
        <v>380</v>
      </c>
      <c r="AE36" s="26" t="s">
        <v>381</v>
      </c>
      <c r="AF36" s="26" t="s">
        <v>206</v>
      </c>
      <c r="AG36" s="26" t="s">
        <v>343</v>
      </c>
      <c r="AH36" s="26" t="s">
        <v>366</v>
      </c>
    </row>
    <row r="37" spans="1:1028">
      <c r="A37" s="2" t="s">
        <v>38</v>
      </c>
      <c r="B37" s="2" t="s">
        <v>39</v>
      </c>
      <c r="C37" s="1" t="s">
        <v>382</v>
      </c>
      <c r="D37" s="1" t="s">
        <v>382</v>
      </c>
      <c r="E37" s="7" t="s">
        <v>271</v>
      </c>
      <c r="F37" s="1" t="s">
        <v>382</v>
      </c>
      <c r="G37" s="23" t="s">
        <v>272</v>
      </c>
      <c r="H37" s="6" t="s">
        <v>383</v>
      </c>
      <c r="I37" s="6" t="s">
        <v>274</v>
      </c>
      <c r="J37" s="10">
        <v>400</v>
      </c>
      <c r="K37" s="10">
        <v>400</v>
      </c>
      <c r="M37" s="14" t="s">
        <v>384</v>
      </c>
      <c r="N37" s="1" t="s">
        <v>382</v>
      </c>
      <c r="O37" s="25" t="s">
        <v>385</v>
      </c>
      <c r="P37" s="26" t="s">
        <v>174</v>
      </c>
      <c r="Q37" s="26" t="s">
        <v>233</v>
      </c>
      <c r="R37" s="26" t="s">
        <v>386</v>
      </c>
      <c r="S37" s="26" t="s">
        <v>387</v>
      </c>
      <c r="T37" s="26" t="s">
        <v>59</v>
      </c>
      <c r="U37" s="26" t="s">
        <v>140</v>
      </c>
      <c r="V37" s="26" t="s">
        <v>388</v>
      </c>
      <c r="W37" s="27" t="s">
        <v>389</v>
      </c>
      <c r="X37" s="26" t="s">
        <v>390</v>
      </c>
      <c r="Y37" s="26" t="s">
        <v>391</v>
      </c>
      <c r="AA37" s="26" t="s">
        <v>392</v>
      </c>
      <c r="AB37" s="26" t="s">
        <v>378</v>
      </c>
      <c r="AC37" s="26" t="s">
        <v>393</v>
      </c>
      <c r="AD37" s="26" t="s">
        <v>394</v>
      </c>
      <c r="AE37" s="26" t="s">
        <v>395</v>
      </c>
      <c r="AF37" s="26" t="s">
        <v>396</v>
      </c>
      <c r="AG37" s="26" t="s">
        <v>397</v>
      </c>
      <c r="AH37" s="26" t="s">
        <v>398</v>
      </c>
    </row>
    <row r="38" spans="1:1028" s="47" customFormat="1">
      <c r="A38" s="2" t="s">
        <v>38</v>
      </c>
      <c r="B38" s="39" t="s">
        <v>39</v>
      </c>
      <c r="C38" s="40" t="s">
        <v>399</v>
      </c>
      <c r="D38" s="40" t="s">
        <v>399</v>
      </c>
      <c r="E38" s="41" t="s">
        <v>271</v>
      </c>
      <c r="F38" s="40" t="s">
        <v>399</v>
      </c>
      <c r="G38" s="42" t="s">
        <v>272</v>
      </c>
      <c r="H38" s="43" t="s">
        <v>400</v>
      </c>
      <c r="I38" s="43" t="s">
        <v>274</v>
      </c>
      <c r="J38" s="44">
        <v>400</v>
      </c>
      <c r="K38" s="44">
        <v>400</v>
      </c>
      <c r="L38" s="40"/>
      <c r="M38" s="45" t="s">
        <v>47</v>
      </c>
      <c r="N38" s="40" t="s">
        <v>399</v>
      </c>
      <c r="O38" s="46" t="s">
        <v>401</v>
      </c>
      <c r="P38" s="46" t="s">
        <v>402</v>
      </c>
      <c r="Q38" s="46" t="s">
        <v>403</v>
      </c>
      <c r="R38" s="46" t="s">
        <v>137</v>
      </c>
      <c r="S38" s="46" t="s">
        <v>404</v>
      </c>
      <c r="T38" s="46" t="s">
        <v>59</v>
      </c>
      <c r="U38" s="46" t="s">
        <v>140</v>
      </c>
      <c r="V38" s="46" t="s">
        <v>405</v>
      </c>
      <c r="W38" s="27" t="s">
        <v>406</v>
      </c>
      <c r="X38" s="46" t="s">
        <v>407</v>
      </c>
      <c r="Y38" s="46" t="s">
        <v>408</v>
      </c>
      <c r="Z38" s="46"/>
      <c r="AA38" s="46" t="s">
        <v>283</v>
      </c>
      <c r="AB38" s="46" t="s">
        <v>409</v>
      </c>
      <c r="AC38" s="46" t="s">
        <v>410</v>
      </c>
      <c r="AD38" s="46" t="s">
        <v>411</v>
      </c>
      <c r="AE38" s="46" t="s">
        <v>412</v>
      </c>
      <c r="AF38" s="46" t="s">
        <v>413</v>
      </c>
      <c r="AG38" s="46" t="s">
        <v>414</v>
      </c>
      <c r="AH38" s="46" t="s">
        <v>415</v>
      </c>
      <c r="AI38" s="46"/>
      <c r="AJ38" s="46" t="s">
        <v>416</v>
      </c>
      <c r="AK38" s="46" t="s">
        <v>417</v>
      </c>
      <c r="AL38" s="46" t="s">
        <v>418</v>
      </c>
      <c r="AM38" s="4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  <c r="OL38" s="40"/>
      <c r="OM38" s="40"/>
      <c r="ON38" s="40"/>
      <c r="OO38" s="40"/>
      <c r="OP38" s="40"/>
      <c r="OQ38" s="40"/>
      <c r="OR38" s="40"/>
      <c r="OS38" s="40"/>
      <c r="OT38" s="40"/>
      <c r="OU38" s="40"/>
      <c r="OV38" s="40"/>
      <c r="OW38" s="40"/>
      <c r="OX38" s="40"/>
      <c r="OY38" s="40"/>
      <c r="OZ38" s="40"/>
      <c r="PA38" s="40"/>
      <c r="PB38" s="40"/>
      <c r="PC38" s="40"/>
      <c r="PD38" s="40"/>
      <c r="PE38" s="40"/>
      <c r="PF38" s="40"/>
      <c r="PG38" s="40"/>
      <c r="PH38" s="40"/>
      <c r="PI38" s="40"/>
      <c r="PJ38" s="40"/>
      <c r="PK38" s="40"/>
      <c r="PL38" s="40"/>
      <c r="PM38" s="40"/>
      <c r="PN38" s="40"/>
      <c r="PO38" s="40"/>
      <c r="PP38" s="40"/>
      <c r="PQ38" s="40"/>
      <c r="PR38" s="40"/>
      <c r="PS38" s="40"/>
      <c r="PT38" s="40"/>
      <c r="PU38" s="40"/>
      <c r="PV38" s="40"/>
      <c r="PW38" s="40"/>
      <c r="PX38" s="40"/>
      <c r="PY38" s="40"/>
      <c r="PZ38" s="40"/>
      <c r="QA38" s="40"/>
      <c r="QB38" s="40"/>
      <c r="QC38" s="40"/>
      <c r="QD38" s="40"/>
      <c r="QE38" s="40"/>
      <c r="QF38" s="40"/>
      <c r="QG38" s="40"/>
      <c r="QH38" s="40"/>
      <c r="QI38" s="40"/>
      <c r="QJ38" s="40"/>
      <c r="QK38" s="40"/>
      <c r="QL38" s="40"/>
      <c r="QM38" s="40"/>
      <c r="QN38" s="40"/>
      <c r="QO38" s="40"/>
      <c r="QP38" s="40"/>
      <c r="QQ38" s="40"/>
      <c r="QR38" s="40"/>
      <c r="QS38" s="40"/>
      <c r="QT38" s="40"/>
      <c r="QU38" s="40"/>
      <c r="QV38" s="40"/>
      <c r="QW38" s="40"/>
      <c r="QX38" s="40"/>
      <c r="QY38" s="40"/>
      <c r="QZ38" s="40"/>
      <c r="RA38" s="40"/>
      <c r="RB38" s="40"/>
      <c r="RC38" s="40"/>
      <c r="RD38" s="40"/>
      <c r="RE38" s="40"/>
      <c r="RF38" s="40"/>
      <c r="RG38" s="40"/>
      <c r="RH38" s="40"/>
      <c r="RI38" s="40"/>
      <c r="RJ38" s="40"/>
      <c r="RK38" s="40"/>
      <c r="RL38" s="40"/>
      <c r="RM38" s="40"/>
      <c r="RN38" s="40"/>
      <c r="RO38" s="40"/>
      <c r="RP38" s="40"/>
      <c r="RQ38" s="40"/>
      <c r="RR38" s="40"/>
      <c r="RS38" s="40"/>
      <c r="RT38" s="40"/>
      <c r="RU38" s="40"/>
      <c r="RV38" s="40"/>
      <c r="RW38" s="40"/>
      <c r="RX38" s="40"/>
      <c r="RY38" s="40"/>
      <c r="RZ38" s="40"/>
      <c r="SA38" s="40"/>
      <c r="SB38" s="40"/>
      <c r="SC38" s="40"/>
      <c r="SD38" s="40"/>
      <c r="SE38" s="40"/>
      <c r="SF38" s="40"/>
      <c r="SG38" s="40"/>
      <c r="SH38" s="40"/>
      <c r="SI38" s="40"/>
      <c r="SJ38" s="40"/>
      <c r="SK38" s="40"/>
      <c r="SL38" s="40"/>
      <c r="SM38" s="40"/>
      <c r="SN38" s="40"/>
      <c r="SO38" s="40"/>
      <c r="SP38" s="40"/>
      <c r="SQ38" s="40"/>
      <c r="SR38" s="40"/>
      <c r="SS38" s="40"/>
      <c r="ST38" s="40"/>
      <c r="SU38" s="40"/>
      <c r="SV38" s="40"/>
      <c r="SW38" s="40"/>
      <c r="SX38" s="40"/>
      <c r="SY38" s="40"/>
      <c r="SZ38" s="40"/>
      <c r="TA38" s="40"/>
      <c r="TB38" s="40"/>
      <c r="TC38" s="40"/>
      <c r="TD38" s="40"/>
      <c r="TE38" s="40"/>
      <c r="TF38" s="40"/>
      <c r="TG38" s="40"/>
      <c r="TH38" s="40"/>
      <c r="TI38" s="40"/>
      <c r="TJ38" s="40"/>
      <c r="TK38" s="40"/>
      <c r="TL38" s="40"/>
      <c r="TM38" s="40"/>
      <c r="TN38" s="40"/>
      <c r="TO38" s="40"/>
      <c r="TP38" s="40"/>
      <c r="TQ38" s="40"/>
      <c r="TR38" s="40"/>
      <c r="TS38" s="40"/>
      <c r="TT38" s="40"/>
      <c r="TU38" s="40"/>
      <c r="TV38" s="40"/>
      <c r="TW38" s="40"/>
      <c r="TX38" s="40"/>
      <c r="TY38" s="40"/>
      <c r="TZ38" s="40"/>
      <c r="UA38" s="40"/>
      <c r="UB38" s="40"/>
      <c r="UC38" s="40"/>
      <c r="UD38" s="40"/>
      <c r="UE38" s="40"/>
      <c r="UF38" s="40"/>
      <c r="UG38" s="40"/>
      <c r="UH38" s="40"/>
      <c r="UI38" s="40"/>
      <c r="UJ38" s="40"/>
      <c r="UK38" s="40"/>
      <c r="UL38" s="40"/>
      <c r="UM38" s="40"/>
      <c r="UN38" s="40"/>
      <c r="UO38" s="40"/>
      <c r="UP38" s="40"/>
      <c r="UQ38" s="40"/>
      <c r="UR38" s="40"/>
      <c r="US38" s="40"/>
      <c r="UT38" s="40"/>
      <c r="UU38" s="40"/>
      <c r="UV38" s="40"/>
      <c r="UW38" s="40"/>
      <c r="UX38" s="40"/>
      <c r="UY38" s="40"/>
      <c r="UZ38" s="40"/>
      <c r="VA38" s="40"/>
      <c r="VB38" s="40"/>
      <c r="VC38" s="40"/>
      <c r="VD38" s="40"/>
      <c r="VE38" s="40"/>
      <c r="VF38" s="40"/>
      <c r="VG38" s="40"/>
      <c r="VH38" s="40"/>
      <c r="VI38" s="40"/>
      <c r="VJ38" s="40"/>
      <c r="VK38" s="40"/>
      <c r="VL38" s="40"/>
      <c r="VM38" s="40"/>
      <c r="VN38" s="40"/>
      <c r="VO38" s="40"/>
      <c r="VP38" s="40"/>
      <c r="VQ38" s="40"/>
      <c r="VR38" s="40"/>
      <c r="VS38" s="40"/>
      <c r="VT38" s="40"/>
      <c r="VU38" s="40"/>
      <c r="VV38" s="40"/>
      <c r="VW38" s="40"/>
      <c r="VX38" s="40"/>
      <c r="VY38" s="40"/>
      <c r="VZ38" s="40"/>
      <c r="WA38" s="40"/>
      <c r="WB38" s="40"/>
      <c r="WC38" s="40"/>
      <c r="WD38" s="40"/>
      <c r="WE38" s="40"/>
      <c r="WF38" s="40"/>
      <c r="WG38" s="40"/>
      <c r="WH38" s="40"/>
      <c r="WI38" s="40"/>
      <c r="WJ38" s="40"/>
      <c r="WK38" s="40"/>
      <c r="WL38" s="40"/>
      <c r="WM38" s="40"/>
      <c r="WN38" s="40"/>
      <c r="WO38" s="40"/>
      <c r="WP38" s="40"/>
      <c r="WQ38" s="40"/>
      <c r="WR38" s="40"/>
      <c r="WS38" s="40"/>
      <c r="WT38" s="40"/>
      <c r="WU38" s="40"/>
      <c r="WV38" s="40"/>
      <c r="WW38" s="40"/>
      <c r="WX38" s="40"/>
      <c r="WY38" s="40"/>
      <c r="WZ38" s="40"/>
      <c r="XA38" s="40"/>
      <c r="XB38" s="40"/>
      <c r="XC38" s="40"/>
      <c r="XD38" s="40"/>
      <c r="XE38" s="40"/>
      <c r="XF38" s="40"/>
      <c r="XG38" s="40"/>
      <c r="XH38" s="40"/>
      <c r="XI38" s="40"/>
      <c r="XJ38" s="40"/>
      <c r="XK38" s="40"/>
      <c r="XL38" s="40"/>
      <c r="XM38" s="40"/>
      <c r="XN38" s="40"/>
      <c r="XO38" s="40"/>
      <c r="XP38" s="40"/>
      <c r="XQ38" s="40"/>
      <c r="XR38" s="40"/>
      <c r="XS38" s="40"/>
      <c r="XT38" s="40"/>
      <c r="XU38" s="40"/>
      <c r="XV38" s="40"/>
      <c r="XW38" s="40"/>
      <c r="XX38" s="40"/>
      <c r="XY38" s="40"/>
      <c r="XZ38" s="40"/>
      <c r="YA38" s="40"/>
      <c r="YB38" s="40"/>
      <c r="YC38" s="40"/>
      <c r="YD38" s="40"/>
      <c r="YE38" s="40"/>
      <c r="YF38" s="40"/>
      <c r="YG38" s="40"/>
      <c r="YH38" s="40"/>
      <c r="YI38" s="40"/>
      <c r="YJ38" s="40"/>
      <c r="YK38" s="40"/>
      <c r="YL38" s="40"/>
      <c r="YM38" s="40"/>
      <c r="YN38" s="40"/>
      <c r="YO38" s="40"/>
      <c r="YP38" s="40"/>
      <c r="YQ38" s="40"/>
      <c r="YR38" s="40"/>
      <c r="YS38" s="40"/>
      <c r="YT38" s="40"/>
      <c r="YU38" s="40"/>
      <c r="YV38" s="40"/>
      <c r="YW38" s="40"/>
      <c r="YX38" s="40"/>
      <c r="YY38" s="40"/>
      <c r="YZ38" s="40"/>
      <c r="ZA38" s="40"/>
      <c r="ZB38" s="40"/>
      <c r="ZC38" s="40"/>
      <c r="ZD38" s="40"/>
      <c r="ZE38" s="40"/>
      <c r="ZF38" s="40"/>
      <c r="ZG38" s="40"/>
      <c r="ZH38" s="40"/>
      <c r="ZI38" s="40"/>
      <c r="ZJ38" s="40"/>
      <c r="ZK38" s="40"/>
      <c r="ZL38" s="40"/>
      <c r="ZM38" s="40"/>
      <c r="ZN38" s="40"/>
      <c r="ZO38" s="40"/>
      <c r="ZP38" s="40"/>
      <c r="ZQ38" s="40"/>
      <c r="ZR38" s="40"/>
      <c r="ZS38" s="40"/>
      <c r="ZT38" s="40"/>
      <c r="ZU38" s="40"/>
      <c r="ZV38" s="40"/>
      <c r="ZW38" s="40"/>
      <c r="ZX38" s="40"/>
      <c r="ZY38" s="40"/>
      <c r="ZZ38" s="40"/>
      <c r="AAA38" s="40"/>
      <c r="AAB38" s="40"/>
      <c r="AAC38" s="40"/>
      <c r="AAD38" s="40"/>
      <c r="AAE38" s="40"/>
      <c r="AAF38" s="40"/>
      <c r="AAG38" s="40"/>
      <c r="AAH38" s="40"/>
      <c r="AAI38" s="40"/>
      <c r="AAJ38" s="40"/>
      <c r="AAK38" s="40"/>
      <c r="AAL38" s="40"/>
      <c r="AAM38" s="40"/>
      <c r="AAN38" s="40"/>
      <c r="AAO38" s="40"/>
      <c r="AAP38" s="40"/>
      <c r="AAQ38" s="40"/>
      <c r="AAR38" s="40"/>
      <c r="AAS38" s="40"/>
      <c r="AAT38" s="40"/>
      <c r="AAU38" s="40"/>
      <c r="AAV38" s="40"/>
      <c r="AAW38" s="40"/>
      <c r="AAX38" s="40"/>
      <c r="AAY38" s="40"/>
      <c r="AAZ38" s="40"/>
      <c r="ABA38" s="40"/>
      <c r="ABB38" s="40"/>
      <c r="ABC38" s="40"/>
      <c r="ABD38" s="40"/>
      <c r="ABE38" s="40"/>
      <c r="ABF38" s="40"/>
      <c r="ABG38" s="40"/>
      <c r="ABH38" s="40"/>
      <c r="ABI38" s="40"/>
      <c r="ABJ38" s="40"/>
      <c r="ABK38" s="40"/>
      <c r="ABL38" s="40"/>
      <c r="ABM38" s="40"/>
      <c r="ABN38" s="40"/>
      <c r="ABO38" s="40"/>
      <c r="ABP38" s="40"/>
      <c r="ABQ38" s="40"/>
      <c r="ABR38" s="40"/>
      <c r="ABS38" s="40"/>
      <c r="ABT38" s="40"/>
      <c r="ABU38" s="40"/>
      <c r="ABV38" s="40"/>
      <c r="ABW38" s="40"/>
      <c r="ABX38" s="40"/>
      <c r="ABY38" s="40"/>
      <c r="ABZ38" s="40"/>
      <c r="ACA38" s="40"/>
      <c r="ACB38" s="40"/>
      <c r="ACC38" s="40"/>
      <c r="ACD38" s="40"/>
      <c r="ACE38" s="40"/>
      <c r="ACF38" s="40"/>
      <c r="ACG38" s="40"/>
      <c r="ACH38" s="40"/>
      <c r="ACI38" s="40"/>
      <c r="ACJ38" s="40"/>
      <c r="ACK38" s="40"/>
      <c r="ACL38" s="40"/>
      <c r="ACM38" s="40"/>
      <c r="ACN38" s="40"/>
      <c r="ACO38" s="40"/>
      <c r="ACP38" s="40"/>
      <c r="ACQ38" s="40"/>
      <c r="ACR38" s="40"/>
      <c r="ACS38" s="40"/>
      <c r="ACT38" s="40"/>
      <c r="ACU38" s="40"/>
      <c r="ACV38" s="40"/>
      <c r="ACW38" s="40"/>
      <c r="ACX38" s="40"/>
      <c r="ACY38" s="40"/>
      <c r="ACZ38" s="40"/>
      <c r="ADA38" s="40"/>
      <c r="ADB38" s="40"/>
      <c r="ADC38" s="40"/>
      <c r="ADD38" s="40"/>
      <c r="ADE38" s="40"/>
      <c r="ADF38" s="40"/>
      <c r="ADG38" s="40"/>
      <c r="ADH38" s="40"/>
      <c r="ADI38" s="40"/>
      <c r="ADJ38" s="40"/>
      <c r="ADK38" s="40"/>
      <c r="ADL38" s="40"/>
      <c r="ADM38" s="40"/>
      <c r="ADN38" s="40"/>
      <c r="ADO38" s="40"/>
      <c r="ADP38" s="40"/>
      <c r="ADQ38" s="40"/>
      <c r="ADR38" s="40"/>
      <c r="ADS38" s="40"/>
      <c r="ADT38" s="40"/>
      <c r="ADU38" s="40"/>
      <c r="ADV38" s="40"/>
      <c r="ADW38" s="40"/>
      <c r="ADX38" s="40"/>
      <c r="ADY38" s="40"/>
      <c r="ADZ38" s="40"/>
      <c r="AEA38" s="40"/>
      <c r="AEB38" s="40"/>
      <c r="AEC38" s="40"/>
      <c r="AED38" s="40"/>
      <c r="AEE38" s="40"/>
      <c r="AEF38" s="40"/>
      <c r="AEG38" s="40"/>
      <c r="AEH38" s="40"/>
      <c r="AEI38" s="40"/>
      <c r="AEJ38" s="40"/>
      <c r="AEK38" s="40"/>
      <c r="AEL38" s="40"/>
      <c r="AEM38" s="40"/>
      <c r="AEN38" s="40"/>
      <c r="AEO38" s="40"/>
      <c r="AEP38" s="40"/>
      <c r="AEQ38" s="40"/>
      <c r="AER38" s="40"/>
      <c r="AES38" s="40"/>
      <c r="AET38" s="40"/>
      <c r="AEU38" s="40"/>
      <c r="AEV38" s="40"/>
      <c r="AEW38" s="40"/>
      <c r="AEX38" s="40"/>
      <c r="AEY38" s="40"/>
      <c r="AEZ38" s="40"/>
      <c r="AFA38" s="40"/>
      <c r="AFB38" s="40"/>
      <c r="AFC38" s="40"/>
      <c r="AFD38" s="40"/>
      <c r="AFE38" s="40"/>
      <c r="AFF38" s="40"/>
      <c r="AFG38" s="40"/>
      <c r="AFH38" s="40"/>
      <c r="AFI38" s="40"/>
      <c r="AFJ38" s="40"/>
      <c r="AFK38" s="40"/>
      <c r="AFL38" s="40"/>
      <c r="AFM38" s="40"/>
      <c r="AFN38" s="40"/>
      <c r="AFO38" s="40"/>
      <c r="AFP38" s="40"/>
      <c r="AFQ38" s="40"/>
      <c r="AFR38" s="40"/>
      <c r="AFS38" s="40"/>
      <c r="AFT38" s="40"/>
      <c r="AFU38" s="40"/>
      <c r="AFV38" s="40"/>
      <c r="AFW38" s="40"/>
      <c r="AFX38" s="40"/>
      <c r="AFY38" s="40"/>
      <c r="AFZ38" s="40"/>
      <c r="AGA38" s="40"/>
      <c r="AGB38" s="40"/>
      <c r="AGC38" s="40"/>
      <c r="AGD38" s="40"/>
      <c r="AGE38" s="40"/>
      <c r="AGF38" s="40"/>
      <c r="AGG38" s="40"/>
      <c r="AGH38" s="40"/>
      <c r="AGI38" s="40"/>
      <c r="AGJ38" s="40"/>
      <c r="AGK38" s="40"/>
      <c r="AGL38" s="40"/>
      <c r="AGM38" s="40"/>
      <c r="AGN38" s="40"/>
      <c r="AGO38" s="40"/>
      <c r="AGP38" s="40"/>
      <c r="AGQ38" s="40"/>
      <c r="AGR38" s="40"/>
      <c r="AGS38" s="40"/>
      <c r="AGT38" s="40"/>
      <c r="AGU38" s="40"/>
      <c r="AGV38" s="40"/>
      <c r="AGW38" s="40"/>
      <c r="AGX38" s="40"/>
      <c r="AGY38" s="40"/>
      <c r="AGZ38" s="40"/>
      <c r="AHA38" s="40"/>
      <c r="AHB38" s="40"/>
      <c r="AHC38" s="40"/>
      <c r="AHD38" s="40"/>
      <c r="AHE38" s="40"/>
      <c r="AHF38" s="40"/>
      <c r="AHG38" s="40"/>
      <c r="AHH38" s="40"/>
      <c r="AHI38" s="40"/>
      <c r="AHJ38" s="40"/>
      <c r="AHK38" s="40"/>
      <c r="AHL38" s="40"/>
      <c r="AHM38" s="40"/>
      <c r="AHN38" s="40"/>
      <c r="AHO38" s="40"/>
      <c r="AHP38" s="40"/>
      <c r="AHQ38" s="40"/>
      <c r="AHR38" s="40"/>
      <c r="AHS38" s="40"/>
      <c r="AHT38" s="40"/>
      <c r="AHU38" s="40"/>
      <c r="AHV38" s="40"/>
      <c r="AHW38" s="40"/>
      <c r="AHX38" s="40"/>
      <c r="AHY38" s="40"/>
      <c r="AHZ38" s="40"/>
      <c r="AIA38" s="40"/>
      <c r="AIB38" s="40"/>
      <c r="AIC38" s="40"/>
      <c r="AID38" s="40"/>
      <c r="AIE38" s="40"/>
      <c r="AIF38" s="40"/>
      <c r="AIG38" s="40"/>
      <c r="AIH38" s="40"/>
      <c r="AII38" s="40"/>
      <c r="AIJ38" s="40"/>
      <c r="AIK38" s="40"/>
      <c r="AIL38" s="40"/>
      <c r="AIM38" s="40"/>
      <c r="AIN38" s="40"/>
      <c r="AIO38" s="40"/>
      <c r="AIP38" s="40"/>
      <c r="AIQ38" s="40"/>
      <c r="AIR38" s="40"/>
      <c r="AIS38" s="40"/>
      <c r="AIT38" s="40"/>
      <c r="AIU38" s="40"/>
      <c r="AIV38" s="40"/>
      <c r="AIW38" s="40"/>
      <c r="AIX38" s="40"/>
      <c r="AIY38" s="40"/>
      <c r="AIZ38" s="40"/>
      <c r="AJA38" s="40"/>
      <c r="AJB38" s="40"/>
      <c r="AJC38" s="40"/>
      <c r="AJD38" s="40"/>
      <c r="AJE38" s="40"/>
      <c r="AJF38" s="40"/>
      <c r="AJG38" s="40"/>
      <c r="AJH38" s="40"/>
      <c r="AJI38" s="40"/>
      <c r="AJJ38" s="40"/>
      <c r="AJK38" s="40"/>
      <c r="AJL38" s="40"/>
      <c r="AJM38" s="40"/>
      <c r="AJN38" s="40"/>
      <c r="AJO38" s="40"/>
      <c r="AJP38" s="40"/>
      <c r="AJQ38" s="40"/>
      <c r="AJR38" s="40"/>
      <c r="AJS38" s="40"/>
      <c r="AJT38" s="40"/>
      <c r="AJU38" s="40"/>
      <c r="AJV38" s="40"/>
      <c r="AJW38" s="40"/>
      <c r="AJX38" s="40"/>
      <c r="AJY38" s="40"/>
      <c r="AJZ38" s="40"/>
      <c r="AKA38" s="40"/>
      <c r="AKB38" s="40"/>
      <c r="AKC38" s="40"/>
      <c r="AKD38" s="40"/>
      <c r="AKE38" s="40"/>
      <c r="AKF38" s="40"/>
      <c r="AKG38" s="40"/>
      <c r="AKH38" s="40"/>
      <c r="AKI38" s="40"/>
      <c r="AKJ38" s="40"/>
      <c r="AKK38" s="40"/>
      <c r="AKL38" s="40"/>
      <c r="AKM38" s="40"/>
      <c r="AKN38" s="40"/>
      <c r="AKO38" s="40"/>
      <c r="AKP38" s="40"/>
      <c r="AKQ38" s="40"/>
      <c r="AKR38" s="40"/>
      <c r="AKS38" s="40"/>
      <c r="AKT38" s="40"/>
      <c r="AKU38" s="40"/>
      <c r="AKV38" s="40"/>
      <c r="AKW38" s="40"/>
      <c r="AKX38" s="40"/>
      <c r="AKY38" s="40"/>
      <c r="AKZ38" s="40"/>
      <c r="ALA38" s="40"/>
      <c r="ALB38" s="40"/>
      <c r="ALC38" s="40"/>
      <c r="ALD38" s="40"/>
      <c r="ALE38" s="40"/>
      <c r="ALF38" s="40"/>
      <c r="ALG38" s="40"/>
      <c r="ALH38" s="40"/>
      <c r="ALI38" s="40"/>
      <c r="ALJ38" s="40"/>
      <c r="ALK38" s="40"/>
      <c r="ALL38" s="40"/>
      <c r="ALM38" s="40"/>
      <c r="ALN38" s="40"/>
      <c r="ALO38" s="40"/>
      <c r="ALP38" s="40"/>
      <c r="ALQ38" s="40"/>
      <c r="ALR38" s="40"/>
      <c r="ALS38" s="40"/>
      <c r="ALT38" s="40"/>
      <c r="ALU38" s="40"/>
      <c r="ALV38" s="40"/>
      <c r="ALW38" s="40"/>
      <c r="ALX38" s="40"/>
      <c r="ALY38" s="40"/>
      <c r="ALZ38" s="40"/>
      <c r="AMA38" s="40"/>
      <c r="AMB38" s="40"/>
      <c r="AMC38" s="40"/>
      <c r="AMD38" s="40"/>
      <c r="AME38" s="40"/>
      <c r="AMF38" s="40"/>
      <c r="AMG38" s="40"/>
      <c r="AMH38" s="40"/>
      <c r="AMI38" s="40"/>
      <c r="AMJ38" s="40"/>
      <c r="AMK38" s="40"/>
      <c r="AML38" s="40"/>
      <c r="AMM38" s="40"/>
      <c r="AMN38" s="40"/>
    </row>
    <row r="39" spans="1:1028">
      <c r="A39" s="2" t="s">
        <v>38</v>
      </c>
      <c r="B39" s="2" t="s">
        <v>39</v>
      </c>
      <c r="C39" s="1" t="s">
        <v>419</v>
      </c>
      <c r="D39" s="1" t="s">
        <v>419</v>
      </c>
      <c r="E39" s="7" t="s">
        <v>271</v>
      </c>
      <c r="F39" s="1" t="s">
        <v>419</v>
      </c>
      <c r="G39" s="23" t="s">
        <v>272</v>
      </c>
      <c r="H39" s="6" t="s">
        <v>420</v>
      </c>
      <c r="I39" s="6" t="s">
        <v>274</v>
      </c>
      <c r="J39" s="10">
        <v>400</v>
      </c>
      <c r="K39" s="10">
        <v>400</v>
      </c>
      <c r="M39" s="14" t="s">
        <v>47</v>
      </c>
      <c r="N39" s="1" t="s">
        <v>419</v>
      </c>
      <c r="O39" s="26" t="s">
        <v>421</v>
      </c>
    </row>
    <row r="40" spans="1:1028">
      <c r="A40" s="2" t="s">
        <v>38</v>
      </c>
      <c r="B40" s="2" t="s">
        <v>39</v>
      </c>
      <c r="C40" s="1" t="s">
        <v>422</v>
      </c>
      <c r="D40" s="1" t="s">
        <v>422</v>
      </c>
      <c r="E40" s="7" t="s">
        <v>271</v>
      </c>
      <c r="F40" s="1" t="s">
        <v>422</v>
      </c>
      <c r="G40" s="23" t="s">
        <v>272</v>
      </c>
      <c r="H40" s="6" t="s">
        <v>400</v>
      </c>
      <c r="I40" s="6" t="s">
        <v>274</v>
      </c>
      <c r="J40" s="10">
        <v>400</v>
      </c>
      <c r="K40" s="10">
        <v>400</v>
      </c>
      <c r="M40" s="14" t="s">
        <v>47</v>
      </c>
      <c r="N40" s="1" t="s">
        <v>422</v>
      </c>
      <c r="O40" s="26" t="s">
        <v>423</v>
      </c>
    </row>
    <row r="41" spans="1:1028">
      <c r="A41" s="2" t="s">
        <v>38</v>
      </c>
      <c r="B41" s="2" t="s">
        <v>39</v>
      </c>
      <c r="C41" s="1" t="s">
        <v>424</v>
      </c>
      <c r="D41" s="1" t="s">
        <v>424</v>
      </c>
      <c r="E41" s="8" t="s">
        <v>425</v>
      </c>
      <c r="F41" s="1" t="s">
        <v>424</v>
      </c>
      <c r="G41" s="8" t="s">
        <v>426</v>
      </c>
      <c r="H41" s="16"/>
      <c r="I41" s="4" t="s">
        <v>427</v>
      </c>
      <c r="J41" s="11">
        <v>45524</v>
      </c>
      <c r="K41" s="12" t="s">
        <v>428</v>
      </c>
      <c r="M41" s="4" t="s">
        <v>429</v>
      </c>
      <c r="N41" s="1" t="s">
        <v>424</v>
      </c>
      <c r="O41" s="25" t="s">
        <v>430</v>
      </c>
      <c r="P41" s="27" t="s">
        <v>52</v>
      </c>
    </row>
    <row r="42" spans="1:1028">
      <c r="A42" s="2" t="s">
        <v>38</v>
      </c>
      <c r="B42" s="2"/>
      <c r="E42" s="8"/>
      <c r="G42" s="8"/>
      <c r="H42" s="16"/>
      <c r="I42" s="4"/>
      <c r="J42" s="11"/>
      <c r="K42" s="12"/>
      <c r="M42" s="4"/>
      <c r="N42" s="1" t="s">
        <v>431</v>
      </c>
      <c r="O42" s="25" t="s">
        <v>432</v>
      </c>
      <c r="P42" s="26" t="s">
        <v>433</v>
      </c>
      <c r="Q42" s="26" t="s">
        <v>434</v>
      </c>
      <c r="R42" s="26" t="s">
        <v>137</v>
      </c>
      <c r="S42" s="26" t="s">
        <v>435</v>
      </c>
      <c r="T42" s="26" t="s">
        <v>436</v>
      </c>
      <c r="U42" s="26" t="s">
        <v>140</v>
      </c>
      <c r="V42" s="26" t="s">
        <v>437</v>
      </c>
      <c r="W42" s="27" t="s">
        <v>438</v>
      </c>
      <c r="X42" s="26" t="s">
        <v>439</v>
      </c>
      <c r="Y42" s="26" t="s">
        <v>440</v>
      </c>
      <c r="AA42" s="26" t="s">
        <v>441</v>
      </c>
      <c r="AB42" s="26" t="s">
        <v>311</v>
      </c>
      <c r="AC42" s="26" t="s">
        <v>442</v>
      </c>
      <c r="AD42" s="26" t="s">
        <v>443</v>
      </c>
      <c r="AE42" s="26" t="s">
        <v>444</v>
      </c>
      <c r="AF42" s="26" t="s">
        <v>445</v>
      </c>
      <c r="AG42" s="26" t="s">
        <v>446</v>
      </c>
      <c r="AH42" s="26" t="s">
        <v>447</v>
      </c>
    </row>
    <row r="43" spans="1:1028">
      <c r="A43" s="2" t="s">
        <v>38</v>
      </c>
      <c r="B43" s="2"/>
      <c r="E43" s="8"/>
      <c r="G43" s="8"/>
      <c r="H43" s="16"/>
      <c r="I43" s="4"/>
      <c r="J43" s="11"/>
      <c r="K43" s="12"/>
      <c r="M43" s="4"/>
      <c r="O43" s="25" t="s">
        <v>448</v>
      </c>
      <c r="P43" s="26" t="s">
        <v>433</v>
      </c>
      <c r="Q43" s="26" t="s">
        <v>449</v>
      </c>
      <c r="R43" s="26" t="s">
        <v>137</v>
      </c>
      <c r="S43" s="26" t="s">
        <v>450</v>
      </c>
      <c r="T43" s="26" t="s">
        <v>59</v>
      </c>
      <c r="U43" s="26" t="s">
        <v>79</v>
      </c>
      <c r="V43" s="26" t="s">
        <v>451</v>
      </c>
      <c r="W43" s="27" t="s">
        <v>452</v>
      </c>
      <c r="X43" s="26" t="s">
        <v>453</v>
      </c>
      <c r="Y43" s="26" t="s">
        <v>454</v>
      </c>
      <c r="AA43" s="26" t="s">
        <v>326</v>
      </c>
      <c r="AB43" s="26" t="s">
        <v>455</v>
      </c>
      <c r="AC43" s="26" t="s">
        <v>456</v>
      </c>
      <c r="AD43" s="26" t="s">
        <v>457</v>
      </c>
      <c r="AE43" s="26" t="s">
        <v>458</v>
      </c>
      <c r="AF43" s="26" t="s">
        <v>459</v>
      </c>
      <c r="AG43" s="26" t="s">
        <v>460</v>
      </c>
      <c r="AH43" s="26" t="s">
        <v>461</v>
      </c>
    </row>
    <row r="44" spans="1:1028">
      <c r="A44" s="2" t="s">
        <v>38</v>
      </c>
      <c r="B44" s="2"/>
      <c r="E44" s="8"/>
      <c r="G44" s="8"/>
      <c r="H44" s="16"/>
      <c r="I44" s="4"/>
      <c r="J44" s="11"/>
      <c r="K44" s="12"/>
      <c r="M44" s="4"/>
      <c r="O44" s="25" t="s">
        <v>462</v>
      </c>
      <c r="P44" s="26" t="s">
        <v>433</v>
      </c>
      <c r="Q44" s="26" t="s">
        <v>434</v>
      </c>
      <c r="R44" s="26" t="s">
        <v>137</v>
      </c>
      <c r="S44" s="26" t="s">
        <v>463</v>
      </c>
      <c r="T44" s="26" t="s">
        <v>59</v>
      </c>
      <c r="U44" s="26" t="s">
        <v>464</v>
      </c>
      <c r="V44" s="26" t="s">
        <v>465</v>
      </c>
      <c r="W44" s="27" t="s">
        <v>466</v>
      </c>
      <c r="X44" s="26" t="s">
        <v>467</v>
      </c>
      <c r="Y44" s="26" t="s">
        <v>468</v>
      </c>
      <c r="AA44" s="26" t="s">
        <v>469</v>
      </c>
      <c r="AB44" s="26" t="s">
        <v>470</v>
      </c>
      <c r="AC44" s="26" t="s">
        <v>471</v>
      </c>
      <c r="AD44" s="26" t="s">
        <v>472</v>
      </c>
      <c r="AE44" s="26" t="s">
        <v>473</v>
      </c>
      <c r="AF44" s="26" t="s">
        <v>474</v>
      </c>
      <c r="AG44" s="26" t="s">
        <v>475</v>
      </c>
      <c r="AH44" s="26" t="s">
        <v>476</v>
      </c>
    </row>
    <row r="45" spans="1:1028" s="62" customFormat="1">
      <c r="A45" s="2" t="s">
        <v>38</v>
      </c>
      <c r="B45" s="54"/>
      <c r="C45" s="55"/>
      <c r="D45" s="55"/>
      <c r="E45" s="56"/>
      <c r="F45" s="55"/>
      <c r="G45" s="56" t="s">
        <v>477</v>
      </c>
      <c r="H45" s="57"/>
      <c r="I45" s="58"/>
      <c r="J45" s="59"/>
      <c r="K45" s="60"/>
      <c r="L45" s="55"/>
      <c r="M45" s="58"/>
      <c r="N45" s="55"/>
      <c r="O45" s="61" t="s">
        <v>478</v>
      </c>
      <c r="P45" s="61" t="s">
        <v>433</v>
      </c>
      <c r="Q45" s="61" t="s">
        <v>479</v>
      </c>
      <c r="R45" s="61" t="s">
        <v>480</v>
      </c>
      <c r="S45" s="61" t="s">
        <v>481</v>
      </c>
      <c r="T45" s="61" t="s">
        <v>482</v>
      </c>
      <c r="U45" s="61" t="s">
        <v>255</v>
      </c>
      <c r="V45" s="61" t="s">
        <v>483</v>
      </c>
      <c r="W45" s="27" t="s">
        <v>484</v>
      </c>
      <c r="X45" s="61" t="s">
        <v>485</v>
      </c>
      <c r="Y45" s="61" t="s">
        <v>486</v>
      </c>
      <c r="Z45" s="61"/>
      <c r="AA45" s="61" t="s">
        <v>487</v>
      </c>
      <c r="AB45" s="61" t="s">
        <v>488</v>
      </c>
      <c r="AC45" s="61" t="s">
        <v>489</v>
      </c>
      <c r="AD45" s="61" t="s">
        <v>490</v>
      </c>
      <c r="AE45" s="61" t="s">
        <v>491</v>
      </c>
      <c r="AF45" s="61" t="s">
        <v>492</v>
      </c>
      <c r="AG45" s="61" t="s">
        <v>493</v>
      </c>
      <c r="AH45" s="61" t="s">
        <v>494</v>
      </c>
      <c r="AI45" s="61"/>
      <c r="AJ45" s="61"/>
      <c r="AK45" s="61"/>
      <c r="AL45" s="61"/>
      <c r="AM45" s="61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  <c r="FK45" s="55"/>
      <c r="FL45" s="55"/>
      <c r="FM45" s="55"/>
      <c r="FN45" s="55"/>
      <c r="FO45" s="55"/>
      <c r="FP45" s="55"/>
      <c r="FQ45" s="55"/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GE45" s="55"/>
      <c r="GF45" s="55"/>
      <c r="GG45" s="55"/>
      <c r="GH45" s="55"/>
      <c r="GI45" s="55"/>
      <c r="GJ45" s="55"/>
      <c r="GK45" s="55"/>
      <c r="GL45" s="55"/>
      <c r="GM45" s="55"/>
      <c r="GN45" s="55"/>
      <c r="GO45" s="55"/>
      <c r="GP45" s="55"/>
      <c r="GQ45" s="55"/>
      <c r="GR45" s="55"/>
      <c r="GS45" s="55"/>
      <c r="GT45" s="55"/>
      <c r="GU45" s="55"/>
      <c r="GV45" s="55"/>
      <c r="GW45" s="55"/>
      <c r="GX45" s="55"/>
      <c r="GY45" s="55"/>
      <c r="GZ45" s="55"/>
      <c r="HA45" s="55"/>
      <c r="HB45" s="55"/>
      <c r="HC45" s="55"/>
      <c r="HD45" s="55"/>
      <c r="HE45" s="55"/>
      <c r="HF45" s="55"/>
      <c r="HG45" s="55"/>
      <c r="HH45" s="55"/>
      <c r="HI45" s="55"/>
      <c r="HJ45" s="55"/>
      <c r="HK45" s="55"/>
      <c r="HL45" s="55"/>
      <c r="HM45" s="55"/>
      <c r="HN45" s="55"/>
      <c r="HO45" s="55"/>
      <c r="HP45" s="55"/>
      <c r="HQ45" s="55"/>
      <c r="HR45" s="55"/>
      <c r="HS45" s="55"/>
      <c r="HT45" s="55"/>
      <c r="HU45" s="55"/>
      <c r="HV45" s="55"/>
      <c r="HW45" s="55"/>
      <c r="HX45" s="55"/>
      <c r="HY45" s="55"/>
      <c r="HZ45" s="55"/>
      <c r="IA45" s="55"/>
      <c r="IB45" s="55"/>
      <c r="IC45" s="55"/>
      <c r="ID45" s="55"/>
      <c r="IE45" s="55"/>
      <c r="IF45" s="55"/>
      <c r="IG45" s="55"/>
      <c r="IH45" s="55"/>
      <c r="II45" s="55"/>
      <c r="IJ45" s="55"/>
      <c r="IK45" s="55"/>
      <c r="IL45" s="55"/>
      <c r="IM45" s="55"/>
      <c r="IN45" s="55"/>
      <c r="IO45" s="55"/>
      <c r="IP45" s="55"/>
      <c r="IQ45" s="55"/>
      <c r="IR45" s="55"/>
      <c r="IS45" s="55"/>
      <c r="IT45" s="55"/>
      <c r="IU45" s="55"/>
      <c r="IV45" s="55"/>
      <c r="IW45" s="55"/>
      <c r="IX45" s="55"/>
      <c r="IY45" s="55"/>
      <c r="IZ45" s="55"/>
      <c r="JA45" s="55"/>
      <c r="JB45" s="55"/>
      <c r="JC45" s="55"/>
      <c r="JD45" s="55"/>
      <c r="JE45" s="55"/>
      <c r="JF45" s="55"/>
      <c r="JG45" s="55"/>
      <c r="JH45" s="55"/>
      <c r="JI45" s="55"/>
      <c r="JJ45" s="55"/>
      <c r="JK45" s="55"/>
      <c r="JL45" s="55"/>
      <c r="JM45" s="55"/>
      <c r="JN45" s="55"/>
      <c r="JO45" s="55"/>
      <c r="JP45" s="55"/>
      <c r="JQ45" s="55"/>
      <c r="JR45" s="55"/>
      <c r="JS45" s="55"/>
      <c r="JT45" s="55"/>
      <c r="JU45" s="55"/>
      <c r="JV45" s="55"/>
      <c r="JW45" s="55"/>
      <c r="JX45" s="55"/>
      <c r="JY45" s="55"/>
      <c r="JZ45" s="55"/>
      <c r="KA45" s="55"/>
      <c r="KB45" s="55"/>
      <c r="KC45" s="55"/>
      <c r="KD45" s="55"/>
      <c r="KE45" s="55"/>
      <c r="KF45" s="55"/>
      <c r="KG45" s="55"/>
      <c r="KH45" s="55"/>
      <c r="KI45" s="55"/>
      <c r="KJ45" s="55"/>
      <c r="KK45" s="55"/>
      <c r="KL45" s="55"/>
      <c r="KM45" s="55"/>
      <c r="KN45" s="55"/>
      <c r="KO45" s="55"/>
      <c r="KP45" s="55"/>
      <c r="KQ45" s="55"/>
      <c r="KR45" s="55"/>
      <c r="KS45" s="55"/>
      <c r="KT45" s="55"/>
      <c r="KU45" s="55"/>
      <c r="KV45" s="55"/>
      <c r="KW45" s="55"/>
      <c r="KX45" s="55"/>
      <c r="KY45" s="55"/>
      <c r="KZ45" s="55"/>
      <c r="LA45" s="55"/>
      <c r="LB45" s="55"/>
      <c r="LC45" s="55"/>
      <c r="LD45" s="55"/>
      <c r="LE45" s="55"/>
      <c r="LF45" s="55"/>
      <c r="LG45" s="55"/>
      <c r="LH45" s="55"/>
      <c r="LI45" s="55"/>
      <c r="LJ45" s="55"/>
      <c r="LK45" s="55"/>
      <c r="LL45" s="55"/>
      <c r="LM45" s="55"/>
      <c r="LN45" s="55"/>
      <c r="LO45" s="55"/>
      <c r="LP45" s="55"/>
      <c r="LQ45" s="55"/>
      <c r="LR45" s="55"/>
      <c r="LS45" s="55"/>
      <c r="LT45" s="55"/>
      <c r="LU45" s="55"/>
      <c r="LV45" s="55"/>
      <c r="LW45" s="55"/>
      <c r="LX45" s="55"/>
      <c r="LY45" s="55"/>
      <c r="LZ45" s="55"/>
      <c r="MA45" s="55"/>
      <c r="MB45" s="55"/>
      <c r="MC45" s="55"/>
      <c r="MD45" s="55"/>
      <c r="ME45" s="55"/>
      <c r="MF45" s="55"/>
      <c r="MG45" s="55"/>
      <c r="MH45" s="55"/>
      <c r="MI45" s="55"/>
      <c r="MJ45" s="55"/>
      <c r="MK45" s="55"/>
      <c r="ML45" s="55"/>
      <c r="MM45" s="55"/>
      <c r="MN45" s="55"/>
      <c r="MO45" s="55"/>
      <c r="MP45" s="55"/>
      <c r="MQ45" s="55"/>
      <c r="MR45" s="55"/>
      <c r="MS45" s="55"/>
      <c r="MT45" s="55"/>
      <c r="MU45" s="55"/>
      <c r="MV45" s="55"/>
      <c r="MW45" s="55"/>
      <c r="MX45" s="55"/>
      <c r="MY45" s="55"/>
      <c r="MZ45" s="55"/>
      <c r="NA45" s="55"/>
      <c r="NB45" s="55"/>
      <c r="NC45" s="55"/>
      <c r="ND45" s="55"/>
      <c r="NE45" s="55"/>
      <c r="NF45" s="55"/>
      <c r="NG45" s="55"/>
      <c r="NH45" s="55"/>
      <c r="NI45" s="55"/>
      <c r="NJ45" s="55"/>
      <c r="NK45" s="55"/>
      <c r="NL45" s="55"/>
      <c r="NM45" s="55"/>
      <c r="NN45" s="55"/>
      <c r="NO45" s="55"/>
      <c r="NP45" s="55"/>
      <c r="NQ45" s="55"/>
      <c r="NR45" s="55"/>
      <c r="NS45" s="55"/>
      <c r="NT45" s="55"/>
      <c r="NU45" s="55"/>
      <c r="NV45" s="55"/>
      <c r="NW45" s="55"/>
      <c r="NX45" s="55"/>
      <c r="NY45" s="55"/>
      <c r="NZ45" s="55"/>
      <c r="OA45" s="55"/>
      <c r="OB45" s="55"/>
      <c r="OC45" s="55"/>
      <c r="OD45" s="55"/>
      <c r="OE45" s="55"/>
      <c r="OF45" s="55"/>
      <c r="OG45" s="55"/>
      <c r="OH45" s="55"/>
      <c r="OI45" s="55"/>
      <c r="OJ45" s="55"/>
      <c r="OK45" s="55"/>
      <c r="OL45" s="55"/>
      <c r="OM45" s="55"/>
      <c r="ON45" s="55"/>
      <c r="OO45" s="55"/>
      <c r="OP45" s="55"/>
      <c r="OQ45" s="55"/>
      <c r="OR45" s="55"/>
      <c r="OS45" s="55"/>
      <c r="OT45" s="55"/>
      <c r="OU45" s="55"/>
      <c r="OV45" s="55"/>
      <c r="OW45" s="55"/>
      <c r="OX45" s="55"/>
      <c r="OY45" s="55"/>
      <c r="OZ45" s="55"/>
      <c r="PA45" s="55"/>
      <c r="PB45" s="55"/>
      <c r="PC45" s="55"/>
      <c r="PD45" s="55"/>
      <c r="PE45" s="55"/>
      <c r="PF45" s="55"/>
      <c r="PG45" s="55"/>
      <c r="PH45" s="55"/>
      <c r="PI45" s="55"/>
      <c r="PJ45" s="55"/>
      <c r="PK45" s="55"/>
      <c r="PL45" s="55"/>
      <c r="PM45" s="55"/>
      <c r="PN45" s="55"/>
      <c r="PO45" s="55"/>
      <c r="PP45" s="55"/>
      <c r="PQ45" s="55"/>
      <c r="PR45" s="55"/>
      <c r="PS45" s="55"/>
      <c r="PT45" s="55"/>
      <c r="PU45" s="55"/>
      <c r="PV45" s="55"/>
      <c r="PW45" s="55"/>
      <c r="PX45" s="55"/>
      <c r="PY45" s="55"/>
      <c r="PZ45" s="55"/>
      <c r="QA45" s="55"/>
      <c r="QB45" s="55"/>
      <c r="QC45" s="55"/>
      <c r="QD45" s="55"/>
      <c r="QE45" s="55"/>
      <c r="QF45" s="55"/>
      <c r="QG45" s="55"/>
      <c r="QH45" s="55"/>
      <c r="QI45" s="55"/>
      <c r="QJ45" s="55"/>
      <c r="QK45" s="55"/>
      <c r="QL45" s="55"/>
      <c r="QM45" s="55"/>
      <c r="QN45" s="55"/>
      <c r="QO45" s="55"/>
      <c r="QP45" s="55"/>
      <c r="QQ45" s="55"/>
      <c r="QR45" s="55"/>
      <c r="QS45" s="55"/>
      <c r="QT45" s="55"/>
      <c r="QU45" s="55"/>
      <c r="QV45" s="55"/>
      <c r="QW45" s="55"/>
      <c r="QX45" s="55"/>
      <c r="QY45" s="55"/>
      <c r="QZ45" s="55"/>
      <c r="RA45" s="55"/>
      <c r="RB45" s="55"/>
      <c r="RC45" s="55"/>
      <c r="RD45" s="55"/>
      <c r="RE45" s="55"/>
      <c r="RF45" s="55"/>
      <c r="RG45" s="55"/>
      <c r="RH45" s="55"/>
      <c r="RI45" s="55"/>
      <c r="RJ45" s="55"/>
      <c r="RK45" s="55"/>
      <c r="RL45" s="55"/>
      <c r="RM45" s="55"/>
      <c r="RN45" s="55"/>
      <c r="RO45" s="55"/>
      <c r="RP45" s="55"/>
      <c r="RQ45" s="55"/>
      <c r="RR45" s="55"/>
      <c r="RS45" s="55"/>
      <c r="RT45" s="55"/>
      <c r="RU45" s="55"/>
      <c r="RV45" s="55"/>
      <c r="RW45" s="55"/>
      <c r="RX45" s="55"/>
      <c r="RY45" s="55"/>
      <c r="RZ45" s="55"/>
      <c r="SA45" s="55"/>
      <c r="SB45" s="55"/>
      <c r="SC45" s="55"/>
      <c r="SD45" s="55"/>
      <c r="SE45" s="55"/>
      <c r="SF45" s="55"/>
      <c r="SG45" s="55"/>
      <c r="SH45" s="55"/>
      <c r="SI45" s="55"/>
      <c r="SJ45" s="55"/>
      <c r="SK45" s="55"/>
      <c r="SL45" s="55"/>
      <c r="SM45" s="55"/>
      <c r="SN45" s="55"/>
      <c r="SO45" s="55"/>
      <c r="SP45" s="55"/>
      <c r="SQ45" s="55"/>
      <c r="SR45" s="55"/>
      <c r="SS45" s="55"/>
      <c r="ST45" s="55"/>
      <c r="SU45" s="55"/>
      <c r="SV45" s="55"/>
      <c r="SW45" s="55"/>
      <c r="SX45" s="55"/>
      <c r="SY45" s="55"/>
      <c r="SZ45" s="55"/>
      <c r="TA45" s="55"/>
      <c r="TB45" s="55"/>
      <c r="TC45" s="55"/>
      <c r="TD45" s="55"/>
      <c r="TE45" s="55"/>
      <c r="TF45" s="55"/>
      <c r="TG45" s="55"/>
      <c r="TH45" s="55"/>
      <c r="TI45" s="55"/>
      <c r="TJ45" s="55"/>
      <c r="TK45" s="55"/>
      <c r="TL45" s="55"/>
      <c r="TM45" s="55"/>
      <c r="TN45" s="55"/>
      <c r="TO45" s="55"/>
      <c r="TP45" s="55"/>
      <c r="TQ45" s="55"/>
      <c r="TR45" s="55"/>
      <c r="TS45" s="55"/>
      <c r="TT45" s="55"/>
      <c r="TU45" s="55"/>
      <c r="TV45" s="55"/>
      <c r="TW45" s="55"/>
      <c r="TX45" s="55"/>
      <c r="TY45" s="55"/>
      <c r="TZ45" s="55"/>
      <c r="UA45" s="55"/>
      <c r="UB45" s="55"/>
      <c r="UC45" s="55"/>
      <c r="UD45" s="55"/>
      <c r="UE45" s="55"/>
      <c r="UF45" s="55"/>
      <c r="UG45" s="55"/>
      <c r="UH45" s="55"/>
      <c r="UI45" s="55"/>
      <c r="UJ45" s="55"/>
      <c r="UK45" s="55"/>
      <c r="UL45" s="55"/>
      <c r="UM45" s="55"/>
      <c r="UN45" s="55"/>
      <c r="UO45" s="55"/>
      <c r="UP45" s="55"/>
      <c r="UQ45" s="55"/>
      <c r="UR45" s="55"/>
      <c r="US45" s="55"/>
      <c r="UT45" s="55"/>
      <c r="UU45" s="55"/>
      <c r="UV45" s="55"/>
      <c r="UW45" s="55"/>
      <c r="UX45" s="55"/>
      <c r="UY45" s="55"/>
      <c r="UZ45" s="55"/>
      <c r="VA45" s="55"/>
      <c r="VB45" s="55"/>
      <c r="VC45" s="55"/>
      <c r="VD45" s="55"/>
      <c r="VE45" s="55"/>
      <c r="VF45" s="55"/>
      <c r="VG45" s="55"/>
      <c r="VH45" s="55"/>
      <c r="VI45" s="55"/>
      <c r="VJ45" s="55"/>
      <c r="VK45" s="55"/>
      <c r="VL45" s="55"/>
      <c r="VM45" s="55"/>
      <c r="VN45" s="55"/>
      <c r="VO45" s="55"/>
      <c r="VP45" s="55"/>
      <c r="VQ45" s="55"/>
      <c r="VR45" s="55"/>
      <c r="VS45" s="55"/>
      <c r="VT45" s="55"/>
      <c r="VU45" s="55"/>
      <c r="VV45" s="55"/>
      <c r="VW45" s="55"/>
      <c r="VX45" s="55"/>
      <c r="VY45" s="55"/>
      <c r="VZ45" s="55"/>
      <c r="WA45" s="55"/>
      <c r="WB45" s="55"/>
      <c r="WC45" s="55"/>
      <c r="WD45" s="55"/>
      <c r="WE45" s="55"/>
      <c r="WF45" s="55"/>
      <c r="WG45" s="55"/>
      <c r="WH45" s="55"/>
      <c r="WI45" s="55"/>
      <c r="WJ45" s="55"/>
      <c r="WK45" s="55"/>
      <c r="WL45" s="55"/>
      <c r="WM45" s="55"/>
      <c r="WN45" s="55"/>
      <c r="WO45" s="55"/>
      <c r="WP45" s="55"/>
      <c r="WQ45" s="55"/>
      <c r="WR45" s="55"/>
      <c r="WS45" s="55"/>
      <c r="WT45" s="55"/>
      <c r="WU45" s="55"/>
      <c r="WV45" s="55"/>
      <c r="WW45" s="55"/>
      <c r="WX45" s="55"/>
      <c r="WY45" s="55"/>
      <c r="WZ45" s="55"/>
      <c r="XA45" s="55"/>
      <c r="XB45" s="55"/>
      <c r="XC45" s="55"/>
      <c r="XD45" s="55"/>
      <c r="XE45" s="55"/>
      <c r="XF45" s="55"/>
      <c r="XG45" s="55"/>
      <c r="XH45" s="55"/>
      <c r="XI45" s="55"/>
      <c r="XJ45" s="55"/>
      <c r="XK45" s="55"/>
      <c r="XL45" s="55"/>
      <c r="XM45" s="55"/>
      <c r="XN45" s="55"/>
      <c r="XO45" s="55"/>
      <c r="XP45" s="55"/>
      <c r="XQ45" s="55"/>
      <c r="XR45" s="55"/>
      <c r="XS45" s="55"/>
      <c r="XT45" s="55"/>
      <c r="XU45" s="55"/>
      <c r="XV45" s="55"/>
      <c r="XW45" s="55"/>
      <c r="XX45" s="55"/>
      <c r="XY45" s="55"/>
      <c r="XZ45" s="55"/>
      <c r="YA45" s="55"/>
      <c r="YB45" s="55"/>
      <c r="YC45" s="55"/>
      <c r="YD45" s="55"/>
      <c r="YE45" s="55"/>
      <c r="YF45" s="55"/>
      <c r="YG45" s="55"/>
      <c r="YH45" s="55"/>
      <c r="YI45" s="55"/>
      <c r="YJ45" s="55"/>
      <c r="YK45" s="55"/>
      <c r="YL45" s="55"/>
      <c r="YM45" s="55"/>
      <c r="YN45" s="55"/>
      <c r="YO45" s="55"/>
      <c r="YP45" s="55"/>
      <c r="YQ45" s="55"/>
      <c r="YR45" s="55"/>
      <c r="YS45" s="55"/>
      <c r="YT45" s="55"/>
      <c r="YU45" s="55"/>
      <c r="YV45" s="55"/>
      <c r="YW45" s="55"/>
      <c r="YX45" s="55"/>
      <c r="YY45" s="55"/>
      <c r="YZ45" s="55"/>
      <c r="ZA45" s="55"/>
      <c r="ZB45" s="55"/>
      <c r="ZC45" s="55"/>
      <c r="ZD45" s="55"/>
      <c r="ZE45" s="55"/>
      <c r="ZF45" s="55"/>
      <c r="ZG45" s="55"/>
      <c r="ZH45" s="55"/>
      <c r="ZI45" s="55"/>
      <c r="ZJ45" s="55"/>
      <c r="ZK45" s="55"/>
      <c r="ZL45" s="55"/>
      <c r="ZM45" s="55"/>
      <c r="ZN45" s="55"/>
      <c r="ZO45" s="55"/>
      <c r="ZP45" s="55"/>
      <c r="ZQ45" s="55"/>
      <c r="ZR45" s="55"/>
      <c r="ZS45" s="55"/>
      <c r="ZT45" s="55"/>
      <c r="ZU45" s="55"/>
      <c r="ZV45" s="55"/>
      <c r="ZW45" s="55"/>
      <c r="ZX45" s="55"/>
      <c r="ZY45" s="55"/>
      <c r="ZZ45" s="55"/>
      <c r="AAA45" s="55"/>
      <c r="AAB45" s="55"/>
      <c r="AAC45" s="55"/>
      <c r="AAD45" s="55"/>
      <c r="AAE45" s="55"/>
      <c r="AAF45" s="55"/>
      <c r="AAG45" s="55"/>
      <c r="AAH45" s="55"/>
      <c r="AAI45" s="55"/>
      <c r="AAJ45" s="55"/>
      <c r="AAK45" s="55"/>
      <c r="AAL45" s="55"/>
      <c r="AAM45" s="55"/>
      <c r="AAN45" s="55"/>
      <c r="AAO45" s="55"/>
      <c r="AAP45" s="55"/>
      <c r="AAQ45" s="55"/>
      <c r="AAR45" s="55"/>
      <c r="AAS45" s="55"/>
      <c r="AAT45" s="55"/>
      <c r="AAU45" s="55"/>
      <c r="AAV45" s="55"/>
      <c r="AAW45" s="55"/>
      <c r="AAX45" s="55"/>
      <c r="AAY45" s="55"/>
      <c r="AAZ45" s="55"/>
      <c r="ABA45" s="55"/>
      <c r="ABB45" s="55"/>
      <c r="ABC45" s="55"/>
      <c r="ABD45" s="55"/>
      <c r="ABE45" s="55"/>
      <c r="ABF45" s="55"/>
      <c r="ABG45" s="55"/>
      <c r="ABH45" s="55"/>
      <c r="ABI45" s="55"/>
      <c r="ABJ45" s="55"/>
      <c r="ABK45" s="55"/>
      <c r="ABL45" s="55"/>
      <c r="ABM45" s="55"/>
      <c r="ABN45" s="55"/>
      <c r="ABO45" s="55"/>
      <c r="ABP45" s="55"/>
      <c r="ABQ45" s="55"/>
      <c r="ABR45" s="55"/>
      <c r="ABS45" s="55"/>
      <c r="ABT45" s="55"/>
      <c r="ABU45" s="55"/>
      <c r="ABV45" s="55"/>
      <c r="ABW45" s="55"/>
      <c r="ABX45" s="55"/>
      <c r="ABY45" s="55"/>
      <c r="ABZ45" s="55"/>
      <c r="ACA45" s="55"/>
      <c r="ACB45" s="55"/>
      <c r="ACC45" s="55"/>
      <c r="ACD45" s="55"/>
      <c r="ACE45" s="55"/>
      <c r="ACF45" s="55"/>
      <c r="ACG45" s="55"/>
      <c r="ACH45" s="55"/>
      <c r="ACI45" s="55"/>
      <c r="ACJ45" s="55"/>
      <c r="ACK45" s="55"/>
      <c r="ACL45" s="55"/>
      <c r="ACM45" s="55"/>
      <c r="ACN45" s="55"/>
      <c r="ACO45" s="55"/>
      <c r="ACP45" s="55"/>
      <c r="ACQ45" s="55"/>
      <c r="ACR45" s="55"/>
      <c r="ACS45" s="55"/>
      <c r="ACT45" s="55"/>
      <c r="ACU45" s="55"/>
      <c r="ACV45" s="55"/>
      <c r="ACW45" s="55"/>
      <c r="ACX45" s="55"/>
      <c r="ACY45" s="55"/>
      <c r="ACZ45" s="55"/>
      <c r="ADA45" s="55"/>
      <c r="ADB45" s="55"/>
      <c r="ADC45" s="55"/>
      <c r="ADD45" s="55"/>
      <c r="ADE45" s="55"/>
      <c r="ADF45" s="55"/>
      <c r="ADG45" s="55"/>
      <c r="ADH45" s="55"/>
      <c r="ADI45" s="55"/>
      <c r="ADJ45" s="55"/>
      <c r="ADK45" s="55"/>
      <c r="ADL45" s="55"/>
      <c r="ADM45" s="55"/>
      <c r="ADN45" s="55"/>
      <c r="ADO45" s="55"/>
      <c r="ADP45" s="55"/>
      <c r="ADQ45" s="55"/>
      <c r="ADR45" s="55"/>
      <c r="ADS45" s="55"/>
      <c r="ADT45" s="55"/>
      <c r="ADU45" s="55"/>
      <c r="ADV45" s="55"/>
      <c r="ADW45" s="55"/>
      <c r="ADX45" s="55"/>
      <c r="ADY45" s="55"/>
      <c r="ADZ45" s="55"/>
      <c r="AEA45" s="55"/>
      <c r="AEB45" s="55"/>
      <c r="AEC45" s="55"/>
      <c r="AED45" s="55"/>
      <c r="AEE45" s="55"/>
      <c r="AEF45" s="55"/>
      <c r="AEG45" s="55"/>
      <c r="AEH45" s="55"/>
      <c r="AEI45" s="55"/>
      <c r="AEJ45" s="55"/>
      <c r="AEK45" s="55"/>
      <c r="AEL45" s="55"/>
      <c r="AEM45" s="55"/>
      <c r="AEN45" s="55"/>
      <c r="AEO45" s="55"/>
      <c r="AEP45" s="55"/>
      <c r="AEQ45" s="55"/>
      <c r="AER45" s="55"/>
      <c r="AES45" s="55"/>
      <c r="AET45" s="55"/>
      <c r="AEU45" s="55"/>
      <c r="AEV45" s="55"/>
      <c r="AEW45" s="55"/>
      <c r="AEX45" s="55"/>
      <c r="AEY45" s="55"/>
      <c r="AEZ45" s="55"/>
      <c r="AFA45" s="55"/>
      <c r="AFB45" s="55"/>
      <c r="AFC45" s="55"/>
      <c r="AFD45" s="55"/>
      <c r="AFE45" s="55"/>
      <c r="AFF45" s="55"/>
      <c r="AFG45" s="55"/>
      <c r="AFH45" s="55"/>
      <c r="AFI45" s="55"/>
      <c r="AFJ45" s="55"/>
      <c r="AFK45" s="55"/>
      <c r="AFL45" s="55"/>
      <c r="AFM45" s="55"/>
      <c r="AFN45" s="55"/>
      <c r="AFO45" s="55"/>
      <c r="AFP45" s="55"/>
      <c r="AFQ45" s="55"/>
      <c r="AFR45" s="55"/>
      <c r="AFS45" s="55"/>
      <c r="AFT45" s="55"/>
      <c r="AFU45" s="55"/>
      <c r="AFV45" s="55"/>
      <c r="AFW45" s="55"/>
      <c r="AFX45" s="55"/>
      <c r="AFY45" s="55"/>
      <c r="AFZ45" s="55"/>
      <c r="AGA45" s="55"/>
      <c r="AGB45" s="55"/>
      <c r="AGC45" s="55"/>
      <c r="AGD45" s="55"/>
      <c r="AGE45" s="55"/>
      <c r="AGF45" s="55"/>
      <c r="AGG45" s="55"/>
      <c r="AGH45" s="55"/>
      <c r="AGI45" s="55"/>
      <c r="AGJ45" s="55"/>
      <c r="AGK45" s="55"/>
      <c r="AGL45" s="55"/>
      <c r="AGM45" s="55"/>
      <c r="AGN45" s="55"/>
      <c r="AGO45" s="55"/>
      <c r="AGP45" s="55"/>
      <c r="AGQ45" s="55"/>
      <c r="AGR45" s="55"/>
      <c r="AGS45" s="55"/>
      <c r="AGT45" s="55"/>
      <c r="AGU45" s="55"/>
      <c r="AGV45" s="55"/>
      <c r="AGW45" s="55"/>
      <c r="AGX45" s="55"/>
      <c r="AGY45" s="55"/>
      <c r="AGZ45" s="55"/>
      <c r="AHA45" s="55"/>
      <c r="AHB45" s="55"/>
      <c r="AHC45" s="55"/>
      <c r="AHD45" s="55"/>
      <c r="AHE45" s="55"/>
      <c r="AHF45" s="55"/>
      <c r="AHG45" s="55"/>
      <c r="AHH45" s="55"/>
      <c r="AHI45" s="55"/>
      <c r="AHJ45" s="55"/>
      <c r="AHK45" s="55"/>
      <c r="AHL45" s="55"/>
      <c r="AHM45" s="55"/>
      <c r="AHN45" s="55"/>
      <c r="AHO45" s="55"/>
      <c r="AHP45" s="55"/>
      <c r="AHQ45" s="55"/>
      <c r="AHR45" s="55"/>
      <c r="AHS45" s="55"/>
      <c r="AHT45" s="55"/>
      <c r="AHU45" s="55"/>
      <c r="AHV45" s="55"/>
      <c r="AHW45" s="55"/>
      <c r="AHX45" s="55"/>
      <c r="AHY45" s="55"/>
      <c r="AHZ45" s="55"/>
      <c r="AIA45" s="55"/>
      <c r="AIB45" s="55"/>
      <c r="AIC45" s="55"/>
      <c r="AID45" s="55"/>
      <c r="AIE45" s="55"/>
      <c r="AIF45" s="55"/>
      <c r="AIG45" s="55"/>
      <c r="AIH45" s="55"/>
      <c r="AII45" s="55"/>
      <c r="AIJ45" s="55"/>
      <c r="AIK45" s="55"/>
      <c r="AIL45" s="55"/>
      <c r="AIM45" s="55"/>
      <c r="AIN45" s="55"/>
      <c r="AIO45" s="55"/>
      <c r="AIP45" s="55"/>
      <c r="AIQ45" s="55"/>
      <c r="AIR45" s="55"/>
      <c r="AIS45" s="55"/>
      <c r="AIT45" s="55"/>
      <c r="AIU45" s="55"/>
      <c r="AIV45" s="55"/>
      <c r="AIW45" s="55"/>
      <c r="AIX45" s="55"/>
      <c r="AIY45" s="55"/>
      <c r="AIZ45" s="55"/>
      <c r="AJA45" s="55"/>
      <c r="AJB45" s="55"/>
      <c r="AJC45" s="55"/>
      <c r="AJD45" s="55"/>
      <c r="AJE45" s="55"/>
      <c r="AJF45" s="55"/>
      <c r="AJG45" s="55"/>
      <c r="AJH45" s="55"/>
      <c r="AJI45" s="55"/>
      <c r="AJJ45" s="55"/>
      <c r="AJK45" s="55"/>
      <c r="AJL45" s="55"/>
      <c r="AJM45" s="55"/>
      <c r="AJN45" s="55"/>
      <c r="AJO45" s="55"/>
      <c r="AJP45" s="55"/>
      <c r="AJQ45" s="55"/>
      <c r="AJR45" s="55"/>
      <c r="AJS45" s="55"/>
      <c r="AJT45" s="55"/>
      <c r="AJU45" s="55"/>
      <c r="AJV45" s="55"/>
      <c r="AJW45" s="55"/>
      <c r="AJX45" s="55"/>
      <c r="AJY45" s="55"/>
      <c r="AJZ45" s="55"/>
      <c r="AKA45" s="55"/>
      <c r="AKB45" s="55"/>
      <c r="AKC45" s="55"/>
      <c r="AKD45" s="55"/>
      <c r="AKE45" s="55"/>
      <c r="AKF45" s="55"/>
      <c r="AKG45" s="55"/>
      <c r="AKH45" s="55"/>
      <c r="AKI45" s="55"/>
      <c r="AKJ45" s="55"/>
      <c r="AKK45" s="55"/>
      <c r="AKL45" s="55"/>
      <c r="AKM45" s="55"/>
      <c r="AKN45" s="55"/>
      <c r="AKO45" s="55"/>
      <c r="AKP45" s="55"/>
      <c r="AKQ45" s="55"/>
      <c r="AKR45" s="55"/>
      <c r="AKS45" s="55"/>
      <c r="AKT45" s="55"/>
      <c r="AKU45" s="55"/>
      <c r="AKV45" s="55"/>
      <c r="AKW45" s="55"/>
      <c r="AKX45" s="55"/>
      <c r="AKY45" s="55"/>
      <c r="AKZ45" s="55"/>
      <c r="ALA45" s="55"/>
      <c r="ALB45" s="55"/>
      <c r="ALC45" s="55"/>
      <c r="ALD45" s="55"/>
      <c r="ALE45" s="55"/>
      <c r="ALF45" s="55"/>
      <c r="ALG45" s="55"/>
      <c r="ALH45" s="55"/>
      <c r="ALI45" s="55"/>
      <c r="ALJ45" s="55"/>
      <c r="ALK45" s="55"/>
      <c r="ALL45" s="55"/>
      <c r="ALM45" s="55"/>
      <c r="ALN45" s="55"/>
      <c r="ALO45" s="55"/>
      <c r="ALP45" s="55"/>
      <c r="ALQ45" s="55"/>
      <c r="ALR45" s="55"/>
      <c r="ALS45" s="55"/>
      <c r="ALT45" s="55"/>
      <c r="ALU45" s="55"/>
      <c r="ALV45" s="55"/>
      <c r="ALW45" s="55"/>
      <c r="ALX45" s="55"/>
      <c r="ALY45" s="55"/>
      <c r="ALZ45" s="55"/>
      <c r="AMA45" s="55"/>
      <c r="AMB45" s="55"/>
      <c r="AMC45" s="55"/>
      <c r="AMD45" s="55"/>
      <c r="AME45" s="55"/>
      <c r="AMF45" s="55"/>
      <c r="AMG45" s="55"/>
      <c r="AMH45" s="55"/>
      <c r="AMI45" s="55"/>
      <c r="AMJ45" s="55"/>
      <c r="AMK45" s="55"/>
      <c r="AML45" s="55"/>
      <c r="AMM45" s="55"/>
      <c r="AMN45" s="55"/>
    </row>
    <row r="46" spans="1:1028">
      <c r="A46" s="2" t="s">
        <v>38</v>
      </c>
      <c r="B46" s="2"/>
      <c r="E46" s="8"/>
      <c r="G46" s="8"/>
      <c r="H46" s="16"/>
      <c r="I46" s="4"/>
      <c r="J46" s="11"/>
      <c r="K46" s="12"/>
      <c r="M46" s="4"/>
      <c r="O46" s="25" t="s">
        <v>495</v>
      </c>
    </row>
    <row r="47" spans="1:1028">
      <c r="A47" s="2" t="s">
        <v>38</v>
      </c>
      <c r="B47" s="2"/>
      <c r="E47" s="8"/>
      <c r="G47" s="8"/>
      <c r="H47" s="16"/>
      <c r="I47" s="4"/>
      <c r="J47" s="11"/>
      <c r="K47" s="12"/>
      <c r="M47" s="4"/>
      <c r="O47" s="25" t="s">
        <v>496</v>
      </c>
    </row>
    <row r="48" spans="1:1028">
      <c r="A48" s="2" t="s">
        <v>38</v>
      </c>
      <c r="B48" s="2"/>
      <c r="E48" s="8"/>
      <c r="G48" s="8"/>
      <c r="H48" s="16"/>
      <c r="I48" s="4"/>
      <c r="J48" s="11"/>
      <c r="K48" s="12"/>
      <c r="M48" s="4"/>
      <c r="O48" s="25" t="s">
        <v>497</v>
      </c>
    </row>
    <row r="49" spans="1:34">
      <c r="A49" s="2" t="s">
        <v>38</v>
      </c>
      <c r="B49" s="2"/>
      <c r="E49" s="8"/>
      <c r="G49" s="8"/>
      <c r="H49" s="16"/>
      <c r="I49" s="4"/>
      <c r="J49" s="11"/>
      <c r="K49" s="12"/>
      <c r="M49" s="4"/>
      <c r="N49" s="1" t="s">
        <v>431</v>
      </c>
      <c r="O49" s="25" t="s">
        <v>498</v>
      </c>
      <c r="P49" s="27"/>
    </row>
    <row r="50" spans="1:34">
      <c r="A50" s="2" t="s">
        <v>38</v>
      </c>
      <c r="B50" s="2"/>
      <c r="E50" s="8"/>
      <c r="G50" s="8"/>
      <c r="H50" s="16"/>
      <c r="I50" s="4"/>
      <c r="J50" s="11"/>
      <c r="K50" s="12"/>
      <c r="M50" s="4"/>
      <c r="N50" s="1" t="s">
        <v>431</v>
      </c>
      <c r="O50" s="25" t="s">
        <v>499</v>
      </c>
      <c r="P50" s="27"/>
    </row>
    <row r="51" spans="1:34">
      <c r="A51" s="2" t="s">
        <v>38</v>
      </c>
      <c r="B51" s="2"/>
      <c r="E51" s="8"/>
      <c r="G51" s="8"/>
      <c r="H51" s="16"/>
      <c r="I51" s="4"/>
      <c r="J51" s="11"/>
      <c r="K51" s="12"/>
      <c r="M51" s="4"/>
      <c r="N51" s="1" t="s">
        <v>431</v>
      </c>
      <c r="O51" s="25" t="s">
        <v>500</v>
      </c>
      <c r="P51" s="27"/>
    </row>
    <row r="52" spans="1:34">
      <c r="A52" s="2" t="s">
        <v>38</v>
      </c>
      <c r="B52" s="2" t="s">
        <v>39</v>
      </c>
      <c r="C52" s="1" t="s">
        <v>501</v>
      </c>
      <c r="D52" s="1" t="s">
        <v>501</v>
      </c>
      <c r="E52" s="8" t="s">
        <v>425</v>
      </c>
      <c r="F52" s="1" t="s">
        <v>501</v>
      </c>
      <c r="G52" s="8" t="s">
        <v>426</v>
      </c>
      <c r="H52" s="17"/>
      <c r="I52" s="4" t="s">
        <v>427</v>
      </c>
      <c r="J52" s="11">
        <v>45524</v>
      </c>
      <c r="K52" s="12" t="s">
        <v>428</v>
      </c>
      <c r="M52" s="4" t="s">
        <v>429</v>
      </c>
      <c r="N52" s="1" t="s">
        <v>501</v>
      </c>
      <c r="O52" s="26" t="s">
        <v>502</v>
      </c>
    </row>
    <row r="53" spans="1:34">
      <c r="A53" s="2" t="s">
        <v>38</v>
      </c>
      <c r="B53" s="2" t="s">
        <v>39</v>
      </c>
      <c r="C53" s="1" t="s">
        <v>503</v>
      </c>
      <c r="D53" s="1" t="s">
        <v>503</v>
      </c>
      <c r="E53" s="8" t="s">
        <v>425</v>
      </c>
      <c r="F53" s="1" t="s">
        <v>503</v>
      </c>
      <c r="G53" s="8" t="s">
        <v>426</v>
      </c>
      <c r="H53" s="17"/>
      <c r="I53" s="4" t="s">
        <v>427</v>
      </c>
      <c r="J53" s="11">
        <v>45524</v>
      </c>
      <c r="K53" s="12" t="s">
        <v>428</v>
      </c>
      <c r="M53" s="4" t="s">
        <v>429</v>
      </c>
      <c r="N53" s="1" t="s">
        <v>503</v>
      </c>
      <c r="O53" s="25" t="s">
        <v>504</v>
      </c>
      <c r="P53" s="26" t="s">
        <v>433</v>
      </c>
      <c r="Q53" s="26" t="s">
        <v>505</v>
      </c>
      <c r="R53" s="26" t="s">
        <v>176</v>
      </c>
      <c r="S53" s="26" t="s">
        <v>506</v>
      </c>
      <c r="T53" s="26" t="s">
        <v>507</v>
      </c>
      <c r="U53" s="26" t="s">
        <v>321</v>
      </c>
      <c r="V53" s="26" t="s">
        <v>508</v>
      </c>
      <c r="W53" s="27" t="s">
        <v>509</v>
      </c>
      <c r="X53" s="26" t="s">
        <v>510</v>
      </c>
      <c r="Y53" s="26" t="s">
        <v>511</v>
      </c>
      <c r="AA53" s="26" t="s">
        <v>512</v>
      </c>
      <c r="AB53" s="26" t="s">
        <v>488</v>
      </c>
      <c r="AC53" s="26" t="s">
        <v>513</v>
      </c>
      <c r="AD53" s="26" t="s">
        <v>514</v>
      </c>
      <c r="AE53" s="26" t="s">
        <v>515</v>
      </c>
      <c r="AF53" s="26" t="s">
        <v>516</v>
      </c>
      <c r="AG53" s="26" t="s">
        <v>517</v>
      </c>
      <c r="AH53" s="26" t="s">
        <v>518</v>
      </c>
    </row>
    <row r="54" spans="1:34">
      <c r="A54" s="2" t="s">
        <v>38</v>
      </c>
      <c r="B54" s="2"/>
      <c r="E54" s="8"/>
      <c r="G54" s="8"/>
      <c r="H54" s="17"/>
      <c r="I54" s="4"/>
      <c r="J54" s="11"/>
      <c r="K54" s="12"/>
      <c r="M54" s="4"/>
      <c r="N54" s="1" t="s">
        <v>503</v>
      </c>
      <c r="O54" s="25" t="s">
        <v>519</v>
      </c>
      <c r="P54" s="27"/>
    </row>
    <row r="55" spans="1:34">
      <c r="A55" s="2" t="s">
        <v>38</v>
      </c>
      <c r="B55" s="2"/>
      <c r="E55" s="8"/>
      <c r="G55" s="8"/>
      <c r="H55" s="17"/>
      <c r="I55" s="4"/>
      <c r="J55" s="11"/>
      <c r="K55" s="12"/>
      <c r="M55" s="4"/>
      <c r="N55" s="1" t="s">
        <v>503</v>
      </c>
      <c r="O55" s="25" t="s">
        <v>520</v>
      </c>
      <c r="P55" s="27"/>
    </row>
    <row r="56" spans="1:34">
      <c r="A56" s="2" t="s">
        <v>38</v>
      </c>
      <c r="B56" s="2" t="s">
        <v>39</v>
      </c>
      <c r="C56" s="1" t="s">
        <v>521</v>
      </c>
      <c r="D56" s="1" t="s">
        <v>521</v>
      </c>
      <c r="E56" s="8" t="s">
        <v>425</v>
      </c>
      <c r="F56" s="1" t="s">
        <v>521</v>
      </c>
      <c r="G56" s="8" t="s">
        <v>426</v>
      </c>
      <c r="H56" s="17"/>
      <c r="I56" s="4" t="s">
        <v>427</v>
      </c>
      <c r="J56" s="11">
        <v>45524</v>
      </c>
      <c r="K56" s="12" t="s">
        <v>428</v>
      </c>
      <c r="M56" s="4" t="s">
        <v>522</v>
      </c>
      <c r="N56" s="1" t="s">
        <v>521</v>
      </c>
      <c r="O56" s="26" t="s">
        <v>523</v>
      </c>
    </row>
    <row r="57" spans="1:34">
      <c r="A57" s="2" t="s">
        <v>38</v>
      </c>
      <c r="B57" s="2" t="s">
        <v>39</v>
      </c>
      <c r="C57" s="1" t="s">
        <v>524</v>
      </c>
      <c r="D57" s="1" t="s">
        <v>524</v>
      </c>
      <c r="E57" s="8" t="s">
        <v>525</v>
      </c>
      <c r="F57" s="1" t="s">
        <v>524</v>
      </c>
      <c r="G57" s="8" t="s">
        <v>426</v>
      </c>
      <c r="H57" s="17"/>
      <c r="I57" s="4" t="s">
        <v>427</v>
      </c>
      <c r="J57" s="11">
        <v>45524</v>
      </c>
      <c r="K57" s="12" t="s">
        <v>428</v>
      </c>
      <c r="M57" s="4" t="s">
        <v>522</v>
      </c>
      <c r="N57" s="1" t="s">
        <v>524</v>
      </c>
      <c r="O57" s="26" t="s">
        <v>526</v>
      </c>
    </row>
    <row r="58" spans="1:34">
      <c r="A58" s="2" t="s">
        <v>38</v>
      </c>
      <c r="B58" s="2" t="s">
        <v>39</v>
      </c>
      <c r="C58" s="1" t="s">
        <v>527</v>
      </c>
      <c r="D58" s="1" t="s">
        <v>527</v>
      </c>
      <c r="E58" s="8" t="s">
        <v>525</v>
      </c>
      <c r="F58" s="1" t="s">
        <v>527</v>
      </c>
      <c r="G58" s="8" t="s">
        <v>426</v>
      </c>
      <c r="H58" s="17"/>
      <c r="I58" s="4" t="s">
        <v>427</v>
      </c>
      <c r="J58" s="11">
        <v>45524</v>
      </c>
      <c r="K58" s="12" t="s">
        <v>428</v>
      </c>
      <c r="M58" s="4" t="s">
        <v>522</v>
      </c>
      <c r="N58" s="1" t="s">
        <v>527</v>
      </c>
      <c r="O58" s="29" t="s">
        <v>528</v>
      </c>
      <c r="P58" s="26" t="s">
        <v>529</v>
      </c>
    </row>
    <row r="59" spans="1:34">
      <c r="A59" s="2" t="s">
        <v>38</v>
      </c>
      <c r="B59" s="2" t="s">
        <v>39</v>
      </c>
      <c r="C59" s="1" t="s">
        <v>530</v>
      </c>
      <c r="D59" s="1" t="s">
        <v>530</v>
      </c>
      <c r="E59" s="8" t="s">
        <v>525</v>
      </c>
      <c r="F59" s="1" t="s">
        <v>530</v>
      </c>
      <c r="G59" s="8" t="s">
        <v>426</v>
      </c>
      <c r="H59" s="16"/>
      <c r="I59" s="4" t="s">
        <v>427</v>
      </c>
      <c r="J59" s="11">
        <v>45524</v>
      </c>
      <c r="K59" s="12" t="s">
        <v>428</v>
      </c>
      <c r="M59" s="4" t="s">
        <v>522</v>
      </c>
      <c r="N59" s="1" t="s">
        <v>530</v>
      </c>
      <c r="O59" s="26" t="s">
        <v>523</v>
      </c>
    </row>
    <row r="60" spans="1:34">
      <c r="A60" s="2" t="s">
        <v>38</v>
      </c>
      <c r="B60" s="2" t="s">
        <v>39</v>
      </c>
      <c r="C60" s="1" t="s">
        <v>531</v>
      </c>
      <c r="D60" s="1" t="s">
        <v>531</v>
      </c>
      <c r="E60" s="8" t="s">
        <v>525</v>
      </c>
      <c r="F60" s="1" t="s">
        <v>531</v>
      </c>
      <c r="G60" s="8" t="s">
        <v>426</v>
      </c>
      <c r="H60" s="16"/>
      <c r="I60" s="4" t="s">
        <v>427</v>
      </c>
      <c r="J60" s="11">
        <v>45524</v>
      </c>
      <c r="K60" s="12" t="s">
        <v>428</v>
      </c>
      <c r="M60" s="4" t="s">
        <v>522</v>
      </c>
      <c r="N60" s="1" t="s">
        <v>531</v>
      </c>
      <c r="O60" s="26" t="s">
        <v>532</v>
      </c>
    </row>
    <row r="61" spans="1:34">
      <c r="A61" s="2" t="s">
        <v>38</v>
      </c>
      <c r="B61" s="2" t="s">
        <v>39</v>
      </c>
      <c r="C61" s="1" t="s">
        <v>533</v>
      </c>
      <c r="D61" s="1" t="s">
        <v>533</v>
      </c>
      <c r="E61" s="8" t="s">
        <v>534</v>
      </c>
      <c r="F61" s="1" t="s">
        <v>533</v>
      </c>
      <c r="G61" s="8" t="s">
        <v>535</v>
      </c>
      <c r="H61" s="17"/>
      <c r="I61" s="4" t="s">
        <v>536</v>
      </c>
      <c r="J61" s="12">
        <v>8</v>
      </c>
      <c r="K61" s="12">
        <v>360</v>
      </c>
      <c r="M61" s="4" t="s">
        <v>47</v>
      </c>
      <c r="N61" s="1" t="s">
        <v>533</v>
      </c>
      <c r="O61" s="26" t="s">
        <v>523</v>
      </c>
    </row>
    <row r="62" spans="1:34">
      <c r="A62" s="2" t="s">
        <v>38</v>
      </c>
      <c r="B62" s="2" t="s">
        <v>39</v>
      </c>
      <c r="C62" s="1" t="s">
        <v>537</v>
      </c>
      <c r="D62" s="1" t="s">
        <v>537</v>
      </c>
      <c r="E62" s="8" t="s">
        <v>534</v>
      </c>
      <c r="F62" s="1" t="s">
        <v>537</v>
      </c>
      <c r="G62" s="8" t="s">
        <v>535</v>
      </c>
      <c r="H62" s="16"/>
      <c r="I62" s="4" t="s">
        <v>536</v>
      </c>
      <c r="J62" s="12">
        <v>8</v>
      </c>
      <c r="K62" s="12">
        <v>360</v>
      </c>
      <c r="M62" s="4" t="s">
        <v>47</v>
      </c>
      <c r="N62" s="1" t="s">
        <v>537</v>
      </c>
      <c r="O62" s="26" t="s">
        <v>532</v>
      </c>
    </row>
    <row r="63" spans="1:34">
      <c r="A63" s="2" t="s">
        <v>38</v>
      </c>
      <c r="B63" s="2" t="s">
        <v>39</v>
      </c>
      <c r="C63" s="1" t="s">
        <v>538</v>
      </c>
      <c r="D63" s="1" t="s">
        <v>538</v>
      </c>
      <c r="E63" s="8" t="s">
        <v>534</v>
      </c>
      <c r="F63" s="1" t="s">
        <v>538</v>
      </c>
      <c r="G63" s="8" t="s">
        <v>535</v>
      </c>
      <c r="H63" s="16"/>
      <c r="I63" s="4" t="s">
        <v>536</v>
      </c>
      <c r="J63" s="12">
        <v>8</v>
      </c>
      <c r="K63" s="12">
        <v>360</v>
      </c>
      <c r="M63" s="4" t="s">
        <v>539</v>
      </c>
      <c r="N63" s="1" t="s">
        <v>538</v>
      </c>
      <c r="O63" s="26" t="s">
        <v>526</v>
      </c>
    </row>
    <row r="64" spans="1:34">
      <c r="A64" s="2" t="s">
        <v>38</v>
      </c>
      <c r="B64" s="2" t="s">
        <v>39</v>
      </c>
      <c r="C64" s="1" t="s">
        <v>540</v>
      </c>
      <c r="D64" s="1" t="s">
        <v>540</v>
      </c>
      <c r="E64" s="8" t="s">
        <v>534</v>
      </c>
      <c r="F64" s="1" t="s">
        <v>540</v>
      </c>
      <c r="G64" s="8" t="s">
        <v>535</v>
      </c>
      <c r="H64" s="16"/>
      <c r="I64" s="4" t="s">
        <v>536</v>
      </c>
      <c r="J64" s="12">
        <v>8</v>
      </c>
      <c r="K64" s="12">
        <v>360</v>
      </c>
      <c r="M64" s="4" t="s">
        <v>539</v>
      </c>
      <c r="N64" s="1" t="s">
        <v>540</v>
      </c>
      <c r="O64" s="26" t="s">
        <v>526</v>
      </c>
    </row>
    <row r="65" spans="1:34">
      <c r="A65" s="2" t="s">
        <v>38</v>
      </c>
      <c r="B65" s="2" t="s">
        <v>39</v>
      </c>
      <c r="C65" s="1" t="s">
        <v>541</v>
      </c>
      <c r="D65" s="1" t="s">
        <v>541</v>
      </c>
      <c r="E65" s="8" t="s">
        <v>534</v>
      </c>
      <c r="F65" s="1" t="s">
        <v>541</v>
      </c>
      <c r="G65" s="8" t="s">
        <v>535</v>
      </c>
      <c r="H65" s="16"/>
      <c r="I65" s="4" t="s">
        <v>536</v>
      </c>
      <c r="J65" s="12">
        <v>8</v>
      </c>
      <c r="K65" s="12">
        <v>360</v>
      </c>
      <c r="M65" s="4" t="s">
        <v>539</v>
      </c>
      <c r="N65" s="1" t="s">
        <v>541</v>
      </c>
      <c r="O65" s="26" t="s">
        <v>526</v>
      </c>
    </row>
    <row r="66" spans="1:34">
      <c r="A66" s="2" t="s">
        <v>38</v>
      </c>
      <c r="B66" s="2" t="s">
        <v>39</v>
      </c>
      <c r="C66" s="1" t="s">
        <v>542</v>
      </c>
      <c r="D66" s="1" t="s">
        <v>542</v>
      </c>
      <c r="E66" s="8" t="s">
        <v>534</v>
      </c>
      <c r="F66" s="1" t="s">
        <v>542</v>
      </c>
      <c r="G66" s="8" t="s">
        <v>535</v>
      </c>
      <c r="H66" s="16"/>
      <c r="I66" s="4" t="s">
        <v>536</v>
      </c>
      <c r="J66" s="12">
        <v>8</v>
      </c>
      <c r="K66" s="12">
        <v>360</v>
      </c>
      <c r="M66" s="4" t="s">
        <v>539</v>
      </c>
      <c r="N66" s="1" t="s">
        <v>542</v>
      </c>
      <c r="O66" s="26" t="s">
        <v>523</v>
      </c>
    </row>
    <row r="67" spans="1:34">
      <c r="A67" s="2" t="s">
        <v>38</v>
      </c>
      <c r="B67" s="2" t="s">
        <v>39</v>
      </c>
      <c r="C67" s="1" t="s">
        <v>543</v>
      </c>
      <c r="D67" s="1" t="s">
        <v>543</v>
      </c>
      <c r="E67" s="8" t="s">
        <v>534</v>
      </c>
      <c r="F67" s="1" t="s">
        <v>543</v>
      </c>
      <c r="G67" s="8" t="s">
        <v>535</v>
      </c>
      <c r="H67" s="16"/>
      <c r="I67" s="4" t="s">
        <v>536</v>
      </c>
      <c r="J67" s="12">
        <v>8</v>
      </c>
      <c r="K67" s="12">
        <v>360</v>
      </c>
      <c r="M67" s="4" t="s">
        <v>539</v>
      </c>
      <c r="N67" s="1" t="s">
        <v>543</v>
      </c>
      <c r="O67" s="26" t="s">
        <v>526</v>
      </c>
    </row>
    <row r="68" spans="1:34">
      <c r="A68" s="2" t="s">
        <v>38</v>
      </c>
      <c r="B68" s="2" t="s">
        <v>39</v>
      </c>
      <c r="C68" s="1" t="s">
        <v>544</v>
      </c>
      <c r="D68" s="1" t="s">
        <v>544</v>
      </c>
      <c r="E68" s="8" t="s">
        <v>534</v>
      </c>
      <c r="F68" s="1" t="s">
        <v>544</v>
      </c>
      <c r="G68" s="8" t="s">
        <v>535</v>
      </c>
      <c r="H68" s="16"/>
      <c r="I68" s="4" t="s">
        <v>536</v>
      </c>
      <c r="J68" s="12">
        <v>8</v>
      </c>
      <c r="K68" s="12">
        <v>360</v>
      </c>
      <c r="M68" s="4" t="s">
        <v>539</v>
      </c>
      <c r="N68" s="1" t="s">
        <v>544</v>
      </c>
      <c r="O68" s="26" t="s">
        <v>526</v>
      </c>
    </row>
    <row r="69" spans="1:34">
      <c r="A69" s="2" t="s">
        <v>38</v>
      </c>
      <c r="B69" s="2" t="s">
        <v>39</v>
      </c>
      <c r="C69" s="1" t="s">
        <v>545</v>
      </c>
      <c r="D69" s="1" t="s">
        <v>545</v>
      </c>
      <c r="E69" s="8" t="s">
        <v>534</v>
      </c>
      <c r="F69" s="1" t="s">
        <v>545</v>
      </c>
      <c r="G69" s="8" t="s">
        <v>535</v>
      </c>
      <c r="H69" s="16"/>
      <c r="I69" s="4" t="s">
        <v>536</v>
      </c>
      <c r="J69" s="12">
        <v>8</v>
      </c>
      <c r="K69" s="12">
        <v>360</v>
      </c>
      <c r="M69" s="4" t="s">
        <v>429</v>
      </c>
      <c r="N69" s="1" t="s">
        <v>545</v>
      </c>
      <c r="O69" s="26" t="s">
        <v>532</v>
      </c>
    </row>
    <row r="70" spans="1:34">
      <c r="A70" s="2" t="s">
        <v>38</v>
      </c>
      <c r="B70" s="2" t="s">
        <v>39</v>
      </c>
      <c r="C70" s="1" t="s">
        <v>546</v>
      </c>
      <c r="D70" s="1" t="s">
        <v>546</v>
      </c>
      <c r="E70" s="8" t="s">
        <v>534</v>
      </c>
      <c r="F70" s="1" t="s">
        <v>546</v>
      </c>
      <c r="G70" s="8" t="s">
        <v>535</v>
      </c>
      <c r="H70" s="16"/>
      <c r="I70" s="4" t="s">
        <v>536</v>
      </c>
      <c r="J70" s="12">
        <v>8</v>
      </c>
      <c r="K70" s="12">
        <v>360</v>
      </c>
      <c r="M70" s="4" t="s">
        <v>429</v>
      </c>
      <c r="N70" s="1" t="s">
        <v>546</v>
      </c>
      <c r="O70" s="26" t="s">
        <v>523</v>
      </c>
    </row>
    <row r="71" spans="1:34">
      <c r="A71" s="2" t="s">
        <v>38</v>
      </c>
      <c r="B71" s="2" t="s">
        <v>39</v>
      </c>
      <c r="C71" s="1" t="s">
        <v>547</v>
      </c>
      <c r="D71" s="1" t="s">
        <v>547</v>
      </c>
      <c r="E71" s="8" t="s">
        <v>534</v>
      </c>
      <c r="F71" s="1" t="s">
        <v>547</v>
      </c>
      <c r="G71" s="8" t="s">
        <v>535</v>
      </c>
      <c r="H71" s="16"/>
      <c r="I71" s="4" t="s">
        <v>536</v>
      </c>
      <c r="J71" s="12">
        <v>8</v>
      </c>
      <c r="K71" s="12">
        <v>360</v>
      </c>
      <c r="M71" s="4" t="s">
        <v>429</v>
      </c>
      <c r="N71" s="1" t="s">
        <v>547</v>
      </c>
      <c r="O71" s="26" t="s">
        <v>523</v>
      </c>
    </row>
    <row r="72" spans="1:34">
      <c r="A72" s="2" t="s">
        <v>38</v>
      </c>
      <c r="B72" s="2" t="s">
        <v>39</v>
      </c>
      <c r="C72" s="1" t="s">
        <v>548</v>
      </c>
      <c r="D72" s="1" t="s">
        <v>548</v>
      </c>
      <c r="E72" s="8" t="s">
        <v>549</v>
      </c>
      <c r="F72" s="1" t="s">
        <v>548</v>
      </c>
      <c r="G72" s="8" t="s">
        <v>550</v>
      </c>
      <c r="H72" s="16"/>
      <c r="I72" s="4" t="s">
        <v>551</v>
      </c>
      <c r="J72" s="12" t="s">
        <v>552</v>
      </c>
      <c r="K72" s="12" t="s">
        <v>552</v>
      </c>
      <c r="M72" s="4" t="s">
        <v>553</v>
      </c>
      <c r="N72" s="1" t="s">
        <v>548</v>
      </c>
      <c r="O72" s="26" t="s">
        <v>554</v>
      </c>
    </row>
    <row r="73" spans="1:34">
      <c r="A73" s="2" t="s">
        <v>38</v>
      </c>
      <c r="B73" s="2" t="s">
        <v>39</v>
      </c>
      <c r="C73" s="1" t="s">
        <v>555</v>
      </c>
      <c r="D73" s="1" t="s">
        <v>555</v>
      </c>
      <c r="E73" s="8" t="s">
        <v>549</v>
      </c>
      <c r="F73" s="1" t="s">
        <v>555</v>
      </c>
      <c r="G73" s="8" t="s">
        <v>550</v>
      </c>
      <c r="H73" s="16"/>
      <c r="I73" s="4" t="s">
        <v>551</v>
      </c>
      <c r="J73" s="12" t="s">
        <v>552</v>
      </c>
      <c r="K73" s="12" t="s">
        <v>552</v>
      </c>
      <c r="M73" s="4" t="s">
        <v>553</v>
      </c>
      <c r="N73" s="1" t="s">
        <v>555</v>
      </c>
      <c r="O73" s="25" t="s">
        <v>556</v>
      </c>
      <c r="P73" s="26" t="s">
        <v>557</v>
      </c>
      <c r="Q73" s="26" t="s">
        <v>558</v>
      </c>
      <c r="R73" s="26" t="s">
        <v>559</v>
      </c>
      <c r="S73" s="26" t="s">
        <v>560</v>
      </c>
      <c r="T73" s="26" t="s">
        <v>59</v>
      </c>
      <c r="U73" s="26" t="s">
        <v>561</v>
      </c>
      <c r="V73" s="26" t="s">
        <v>562</v>
      </c>
      <c r="W73" s="27" t="s">
        <v>563</v>
      </c>
      <c r="X73" s="26" t="s">
        <v>564</v>
      </c>
      <c r="Y73" s="26" t="s">
        <v>565</v>
      </c>
      <c r="AA73" s="26" t="s">
        <v>566</v>
      </c>
      <c r="AB73" s="26" t="s">
        <v>567</v>
      </c>
      <c r="AC73" s="26" t="s">
        <v>513</v>
      </c>
      <c r="AD73" s="26" t="s">
        <v>514</v>
      </c>
      <c r="AE73" s="26" t="s">
        <v>515</v>
      </c>
      <c r="AF73" s="26" t="s">
        <v>516</v>
      </c>
      <c r="AG73" s="26" t="s">
        <v>517</v>
      </c>
      <c r="AH73" s="26" t="s">
        <v>518</v>
      </c>
    </row>
    <row r="74" spans="1:34">
      <c r="A74" s="2"/>
      <c r="B74" s="2"/>
      <c r="E74" s="8"/>
      <c r="G74" s="8"/>
      <c r="H74" s="16"/>
      <c r="I74" s="4"/>
      <c r="J74" s="12"/>
      <c r="K74" s="12"/>
      <c r="M74" s="4"/>
      <c r="O74" s="25" t="s">
        <v>568</v>
      </c>
    </row>
    <row r="75" spans="1:34">
      <c r="A75" s="2"/>
      <c r="B75" s="2"/>
      <c r="E75" s="8"/>
      <c r="G75" s="8"/>
      <c r="H75" s="16"/>
      <c r="I75" s="4"/>
      <c r="J75" s="12"/>
      <c r="K75" s="12"/>
      <c r="M75" s="4"/>
      <c r="O75" s="25" t="s">
        <v>569</v>
      </c>
      <c r="P75" s="63"/>
      <c r="Q75" s="64">
        <f>3.5/(100-88.9)</f>
        <v>0.31531531531531548</v>
      </c>
      <c r="R75" s="63" t="s">
        <v>570</v>
      </c>
      <c r="S75" s="63" t="s">
        <v>571</v>
      </c>
      <c r="T75" s="63"/>
      <c r="U75" s="63"/>
      <c r="V75" s="63" t="s">
        <v>572</v>
      </c>
      <c r="W75" s="63" t="s">
        <v>573</v>
      </c>
      <c r="X75" s="63" t="s">
        <v>574</v>
      </c>
      <c r="Y75" s="63" t="s">
        <v>575</v>
      </c>
      <c r="Z75" s="63"/>
      <c r="AA75" s="63" t="s">
        <v>576</v>
      </c>
      <c r="AB75" s="63" t="s">
        <v>577</v>
      </c>
      <c r="AC75" s="63" t="s">
        <v>461</v>
      </c>
      <c r="AD75" s="63" t="s">
        <v>578</v>
      </c>
      <c r="AE75" s="63" t="s">
        <v>579</v>
      </c>
      <c r="AF75" s="63" t="s">
        <v>459</v>
      </c>
      <c r="AG75" s="63" t="s">
        <v>580</v>
      </c>
      <c r="AH75" s="63" t="s">
        <v>581</v>
      </c>
    </row>
    <row r="76" spans="1:34">
      <c r="A76" s="2" t="s">
        <v>582</v>
      </c>
      <c r="B76" s="2"/>
      <c r="E76" s="8"/>
      <c r="G76" s="8"/>
      <c r="H76" s="16"/>
      <c r="I76" s="4"/>
      <c r="J76" s="12"/>
      <c r="K76" s="12"/>
      <c r="M76" s="4"/>
      <c r="O76" s="25" t="s">
        <v>583</v>
      </c>
      <c r="P76" s="63"/>
      <c r="Q76" s="63" t="s">
        <v>355</v>
      </c>
      <c r="R76" s="63" t="s">
        <v>570</v>
      </c>
      <c r="S76" s="63" t="s">
        <v>584</v>
      </c>
      <c r="T76" s="63"/>
      <c r="U76" s="63"/>
      <c r="V76" s="63" t="s">
        <v>585</v>
      </c>
      <c r="W76" s="63" t="s">
        <v>586</v>
      </c>
      <c r="X76" s="63" t="s">
        <v>587</v>
      </c>
      <c r="Y76" s="63" t="s">
        <v>588</v>
      </c>
      <c r="Z76" s="63"/>
      <c r="AA76" s="63" t="s">
        <v>589</v>
      </c>
      <c r="AB76" s="63" t="s">
        <v>590</v>
      </c>
      <c r="AC76" s="63" t="s">
        <v>591</v>
      </c>
      <c r="AD76" s="63" t="s">
        <v>592</v>
      </c>
      <c r="AE76" s="63" t="s">
        <v>593</v>
      </c>
      <c r="AF76" s="63" t="s">
        <v>594</v>
      </c>
      <c r="AG76" s="63" t="s">
        <v>595</v>
      </c>
      <c r="AH76" s="63" t="s">
        <v>596</v>
      </c>
    </row>
    <row r="77" spans="1:34">
      <c r="A77" s="2" t="s">
        <v>38</v>
      </c>
      <c r="B77" s="2" t="s">
        <v>39</v>
      </c>
      <c r="C77" s="1" t="s">
        <v>597</v>
      </c>
      <c r="D77" s="1" t="s">
        <v>597</v>
      </c>
      <c r="E77" s="8" t="s">
        <v>549</v>
      </c>
      <c r="F77" s="1" t="s">
        <v>597</v>
      </c>
      <c r="G77" s="8" t="s">
        <v>550</v>
      </c>
      <c r="H77" s="16"/>
      <c r="I77" s="4" t="s">
        <v>598</v>
      </c>
      <c r="J77" s="12" t="s">
        <v>552</v>
      </c>
      <c r="K77" s="12" t="s">
        <v>552</v>
      </c>
      <c r="M77" s="4" t="s">
        <v>553</v>
      </c>
      <c r="N77" s="1" t="s">
        <v>597</v>
      </c>
      <c r="O77" s="25" t="s">
        <v>599</v>
      </c>
      <c r="P77" s="26" t="s">
        <v>557</v>
      </c>
      <c r="Q77" s="26" t="s">
        <v>600</v>
      </c>
      <c r="R77" s="26" t="s">
        <v>601</v>
      </c>
      <c r="S77" s="26" t="s">
        <v>602</v>
      </c>
      <c r="T77" s="26" t="s">
        <v>59</v>
      </c>
      <c r="U77" s="26" t="s">
        <v>603</v>
      </c>
      <c r="V77" s="26" t="s">
        <v>604</v>
      </c>
      <c r="W77" s="27" t="s">
        <v>290</v>
      </c>
      <c r="X77" s="26" t="s">
        <v>605</v>
      </c>
      <c r="Y77" s="26" t="s">
        <v>606</v>
      </c>
      <c r="AA77" s="26" t="s">
        <v>607</v>
      </c>
      <c r="AB77" s="26" t="s">
        <v>608</v>
      </c>
      <c r="AC77" s="26" t="s">
        <v>290</v>
      </c>
      <c r="AD77" s="26" t="s">
        <v>609</v>
      </c>
      <c r="AE77" s="26" t="s">
        <v>610</v>
      </c>
      <c r="AF77" s="26" t="s">
        <v>611</v>
      </c>
      <c r="AG77" s="26" t="s">
        <v>611</v>
      </c>
      <c r="AH77" s="26" t="s">
        <v>612</v>
      </c>
    </row>
    <row r="78" spans="1:34">
      <c r="A78" s="2"/>
      <c r="B78" s="2"/>
      <c r="E78" s="8"/>
      <c r="G78" s="8"/>
      <c r="H78" s="16"/>
      <c r="I78" s="4"/>
      <c r="J78" s="12"/>
      <c r="K78" s="12"/>
      <c r="M78" s="4"/>
      <c r="O78" s="25" t="s">
        <v>613</v>
      </c>
      <c r="P78" s="63"/>
      <c r="Q78" s="63" t="s">
        <v>176</v>
      </c>
      <c r="R78" s="63" t="s">
        <v>570</v>
      </c>
      <c r="S78" s="63" t="s">
        <v>614</v>
      </c>
      <c r="T78" s="63"/>
      <c r="U78" s="63"/>
      <c r="V78" s="63" t="s">
        <v>615</v>
      </c>
      <c r="W78" s="63" t="s">
        <v>616</v>
      </c>
      <c r="X78" s="63" t="s">
        <v>116</v>
      </c>
      <c r="Y78" s="63" t="s">
        <v>617</v>
      </c>
      <c r="Z78" s="63"/>
      <c r="AA78" s="63" t="s">
        <v>618</v>
      </c>
      <c r="AB78" s="63" t="s">
        <v>619</v>
      </c>
      <c r="AC78" s="63" t="s">
        <v>620</v>
      </c>
      <c r="AD78" s="63" t="s">
        <v>407</v>
      </c>
      <c r="AE78" s="63" t="s">
        <v>621</v>
      </c>
      <c r="AF78" s="63" t="s">
        <v>622</v>
      </c>
      <c r="AG78" s="63" t="s">
        <v>343</v>
      </c>
      <c r="AH78" s="63" t="s">
        <v>623</v>
      </c>
    </row>
    <row r="79" spans="1:34">
      <c r="A79" s="2"/>
      <c r="B79" s="2"/>
      <c r="E79" s="8"/>
      <c r="G79" s="8"/>
      <c r="H79" s="16"/>
      <c r="I79" s="4"/>
      <c r="J79" s="12"/>
      <c r="K79" s="12"/>
      <c r="M79" s="4"/>
      <c r="O79" s="25" t="s">
        <v>568</v>
      </c>
      <c r="P79" s="65"/>
      <c r="Q79" s="65" t="s">
        <v>624</v>
      </c>
      <c r="R79" s="65" t="s">
        <v>625</v>
      </c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</row>
    <row r="80" spans="1:34">
      <c r="A80" s="2"/>
      <c r="B80" s="2"/>
      <c r="E80" s="8"/>
      <c r="G80" s="8"/>
      <c r="H80" s="16"/>
      <c r="I80" s="4"/>
      <c r="J80" s="12"/>
      <c r="K80" s="12"/>
      <c r="M80" s="4"/>
      <c r="O80" s="25" t="s">
        <v>569</v>
      </c>
      <c r="P80" s="63"/>
      <c r="Q80" s="63" t="s">
        <v>626</v>
      </c>
      <c r="R80" s="63" t="s">
        <v>627</v>
      </c>
      <c r="S80" s="63" t="s">
        <v>628</v>
      </c>
      <c r="T80" s="63"/>
      <c r="U80" s="63"/>
      <c r="V80" s="63" t="s">
        <v>629</v>
      </c>
      <c r="W80" s="63" t="s">
        <v>630</v>
      </c>
      <c r="X80" s="63" t="s">
        <v>631</v>
      </c>
      <c r="Y80" s="63" t="s">
        <v>632</v>
      </c>
      <c r="Z80" s="63"/>
      <c r="AA80" s="63" t="s">
        <v>633</v>
      </c>
      <c r="AB80" s="63" t="s">
        <v>634</v>
      </c>
      <c r="AC80" s="63" t="s">
        <v>635</v>
      </c>
      <c r="AD80" s="63" t="s">
        <v>636</v>
      </c>
      <c r="AE80" s="63" t="s">
        <v>637</v>
      </c>
      <c r="AF80" s="63" t="s">
        <v>638</v>
      </c>
      <c r="AG80" s="63" t="s">
        <v>638</v>
      </c>
      <c r="AH80" s="63" t="s">
        <v>638</v>
      </c>
    </row>
    <row r="81" spans="1:34">
      <c r="A81" s="2" t="s">
        <v>38</v>
      </c>
      <c r="B81" s="2" t="s">
        <v>39</v>
      </c>
      <c r="C81" s="1" t="s">
        <v>639</v>
      </c>
      <c r="D81" s="1" t="s">
        <v>639</v>
      </c>
      <c r="E81" s="8" t="s">
        <v>549</v>
      </c>
      <c r="F81" s="1" t="s">
        <v>639</v>
      </c>
      <c r="G81" s="8" t="s">
        <v>550</v>
      </c>
      <c r="H81" s="16"/>
      <c r="I81" s="4" t="s">
        <v>598</v>
      </c>
      <c r="J81" s="12" t="s">
        <v>552</v>
      </c>
      <c r="K81" s="12" t="s">
        <v>552</v>
      </c>
      <c r="M81" s="4" t="s">
        <v>553</v>
      </c>
      <c r="N81" s="1" t="s">
        <v>639</v>
      </c>
      <c r="O81" s="25" t="s">
        <v>640</v>
      </c>
      <c r="P81" s="26" t="s">
        <v>557</v>
      </c>
      <c r="Q81" s="26" t="s">
        <v>641</v>
      </c>
      <c r="R81" s="26" t="s">
        <v>601</v>
      </c>
      <c r="S81" s="26" t="s">
        <v>642</v>
      </c>
      <c r="T81" s="26" t="s">
        <v>59</v>
      </c>
      <c r="U81" s="26" t="s">
        <v>643</v>
      </c>
      <c r="V81" s="26" t="s">
        <v>644</v>
      </c>
      <c r="W81" s="27" t="s">
        <v>645</v>
      </c>
      <c r="X81" s="26" t="s">
        <v>646</v>
      </c>
      <c r="Y81" s="26" t="s">
        <v>647</v>
      </c>
      <c r="AA81" s="26" t="s">
        <v>648</v>
      </c>
      <c r="AB81" s="26" t="s">
        <v>649</v>
      </c>
      <c r="AC81" s="26" t="s">
        <v>650</v>
      </c>
      <c r="AD81" s="26" t="s">
        <v>651</v>
      </c>
      <c r="AE81" s="26" t="s">
        <v>652</v>
      </c>
      <c r="AF81" s="26" t="s">
        <v>653</v>
      </c>
      <c r="AG81" s="26" t="s">
        <v>654</v>
      </c>
      <c r="AH81" s="26" t="s">
        <v>655</v>
      </c>
    </row>
    <row r="82" spans="1:34">
      <c r="A82" s="2"/>
      <c r="B82" s="2"/>
      <c r="E82" s="8"/>
      <c r="G82" s="8"/>
      <c r="H82" s="16"/>
      <c r="I82" s="4"/>
      <c r="J82" s="12"/>
      <c r="K82" s="12"/>
      <c r="M82" s="4"/>
      <c r="O82" s="25" t="s">
        <v>613</v>
      </c>
      <c r="P82" s="65"/>
      <c r="Q82" s="65" t="s">
        <v>656</v>
      </c>
      <c r="R82" s="65" t="s">
        <v>657</v>
      </c>
      <c r="S82" s="65" t="s">
        <v>658</v>
      </c>
      <c r="T82" s="65"/>
      <c r="U82" s="65"/>
      <c r="V82" s="65" t="s">
        <v>659</v>
      </c>
      <c r="W82" s="65" t="s">
        <v>660</v>
      </c>
      <c r="X82" s="65" t="s">
        <v>661</v>
      </c>
      <c r="Y82" s="65" t="s">
        <v>662</v>
      </c>
      <c r="Z82" s="65"/>
      <c r="AA82" s="65" t="s">
        <v>663</v>
      </c>
      <c r="AB82" s="65" t="s">
        <v>664</v>
      </c>
      <c r="AC82" s="65" t="s">
        <v>665</v>
      </c>
      <c r="AD82" s="65" t="s">
        <v>666</v>
      </c>
      <c r="AE82" s="65" t="s">
        <v>667</v>
      </c>
      <c r="AF82" s="65" t="s">
        <v>668</v>
      </c>
      <c r="AG82" s="65" t="s">
        <v>669</v>
      </c>
      <c r="AH82" s="65" t="s">
        <v>670</v>
      </c>
    </row>
    <row r="83" spans="1:34">
      <c r="A83" s="2"/>
      <c r="B83" s="2"/>
      <c r="E83" s="8"/>
      <c r="G83" s="8"/>
      <c r="H83" s="16"/>
      <c r="I83" s="4"/>
      <c r="J83" s="12"/>
      <c r="K83" s="12"/>
      <c r="M83" s="4"/>
      <c r="O83" s="25" t="s">
        <v>568</v>
      </c>
      <c r="P83" s="65"/>
      <c r="Q83" s="65" t="s">
        <v>671</v>
      </c>
      <c r="R83" s="65" t="s">
        <v>672</v>
      </c>
      <c r="S83" s="65" t="s">
        <v>673</v>
      </c>
      <c r="T83" s="65"/>
      <c r="U83" s="65"/>
      <c r="V83" s="65" t="s">
        <v>674</v>
      </c>
      <c r="W83" s="65" t="s">
        <v>675</v>
      </c>
      <c r="X83" s="65" t="s">
        <v>676</v>
      </c>
      <c r="Y83" s="65" t="s">
        <v>677</v>
      </c>
      <c r="Z83" s="65"/>
      <c r="AA83" s="65" t="s">
        <v>678</v>
      </c>
      <c r="AB83" s="65" t="s">
        <v>679</v>
      </c>
      <c r="AC83" s="65" t="s">
        <v>446</v>
      </c>
      <c r="AD83" s="65" t="s">
        <v>680</v>
      </c>
      <c r="AE83" s="65" t="s">
        <v>681</v>
      </c>
      <c r="AF83" s="65" t="s">
        <v>682</v>
      </c>
      <c r="AG83" s="65" t="s">
        <v>682</v>
      </c>
      <c r="AH83" s="65" t="s">
        <v>683</v>
      </c>
    </row>
    <row r="84" spans="1:34">
      <c r="A84" s="2"/>
      <c r="B84" s="2"/>
      <c r="E84" s="8"/>
      <c r="G84" s="8"/>
      <c r="H84" s="16"/>
      <c r="I84" s="4"/>
      <c r="J84" s="12"/>
      <c r="K84" s="12"/>
      <c r="M84" s="4"/>
      <c r="O84" s="25" t="s">
        <v>569</v>
      </c>
    </row>
    <row r="85" spans="1:34">
      <c r="A85" s="2" t="s">
        <v>38</v>
      </c>
      <c r="B85" s="2" t="s">
        <v>39</v>
      </c>
      <c r="C85" s="1" t="s">
        <v>684</v>
      </c>
      <c r="D85" s="1" t="s">
        <v>684</v>
      </c>
      <c r="E85" s="8" t="s">
        <v>549</v>
      </c>
      <c r="F85" s="1" t="s">
        <v>684</v>
      </c>
      <c r="G85" s="8" t="s">
        <v>550</v>
      </c>
      <c r="H85" s="16"/>
      <c r="I85" s="4" t="s">
        <v>685</v>
      </c>
      <c r="J85" s="12" t="s">
        <v>552</v>
      </c>
      <c r="K85" s="12" t="s">
        <v>552</v>
      </c>
      <c r="M85" s="4" t="s">
        <v>553</v>
      </c>
      <c r="N85" s="1" t="s">
        <v>684</v>
      </c>
      <c r="O85" s="26" t="s">
        <v>686</v>
      </c>
    </row>
    <row r="86" spans="1:34">
      <c r="A86" s="2" t="s">
        <v>38</v>
      </c>
      <c r="B86" s="2" t="s">
        <v>39</v>
      </c>
      <c r="C86" s="1" t="s">
        <v>687</v>
      </c>
      <c r="D86" s="1" t="s">
        <v>687</v>
      </c>
      <c r="E86" s="8" t="s">
        <v>549</v>
      </c>
      <c r="F86" s="1" t="s">
        <v>687</v>
      </c>
      <c r="G86" s="8" t="s">
        <v>550</v>
      </c>
      <c r="H86" s="16"/>
      <c r="I86" s="4" t="s">
        <v>685</v>
      </c>
      <c r="J86" s="12" t="s">
        <v>552</v>
      </c>
      <c r="K86" s="12" t="s">
        <v>552</v>
      </c>
      <c r="M86" s="4" t="s">
        <v>553</v>
      </c>
      <c r="N86" s="1" t="s">
        <v>687</v>
      </c>
      <c r="O86" s="26" t="s">
        <v>688</v>
      </c>
    </row>
    <row r="87" spans="1:34">
      <c r="A87" s="2" t="s">
        <v>38</v>
      </c>
      <c r="B87" s="2" t="s">
        <v>39</v>
      </c>
      <c r="C87" s="1" t="s">
        <v>689</v>
      </c>
      <c r="D87" s="1" t="s">
        <v>689</v>
      </c>
      <c r="E87" s="8" t="s">
        <v>549</v>
      </c>
      <c r="F87" s="1" t="s">
        <v>689</v>
      </c>
      <c r="G87" s="8" t="s">
        <v>550</v>
      </c>
      <c r="H87" s="16"/>
      <c r="I87" s="4" t="s">
        <v>690</v>
      </c>
      <c r="J87" s="12" t="s">
        <v>552</v>
      </c>
      <c r="K87" s="12" t="s">
        <v>552</v>
      </c>
      <c r="M87" s="4" t="s">
        <v>553</v>
      </c>
      <c r="N87" s="1" t="s">
        <v>689</v>
      </c>
      <c r="O87" s="25" t="s">
        <v>691</v>
      </c>
    </row>
    <row r="88" spans="1:34">
      <c r="A88" s="2"/>
      <c r="B88" s="2"/>
      <c r="E88" s="8"/>
      <c r="G88" s="8"/>
      <c r="H88" s="16"/>
      <c r="I88" s="4"/>
      <c r="J88" s="12"/>
      <c r="K88" s="12"/>
      <c r="M88" s="4"/>
      <c r="O88" s="25" t="s">
        <v>613</v>
      </c>
      <c r="P88" s="65"/>
      <c r="Q88" s="65" t="s">
        <v>692</v>
      </c>
      <c r="R88" s="65" t="s">
        <v>57</v>
      </c>
      <c r="S88" s="65" t="s">
        <v>693</v>
      </c>
      <c r="T88" s="65"/>
      <c r="U88" s="65"/>
      <c r="V88" s="65" t="s">
        <v>694</v>
      </c>
      <c r="W88" s="65" t="s">
        <v>695</v>
      </c>
      <c r="X88" s="65" t="s">
        <v>696</v>
      </c>
      <c r="Y88" s="65" t="s">
        <v>697</v>
      </c>
      <c r="Z88" s="65"/>
      <c r="AA88" s="65" t="s">
        <v>698</v>
      </c>
      <c r="AB88" s="65" t="s">
        <v>699</v>
      </c>
      <c r="AC88" s="65" t="s">
        <v>700</v>
      </c>
      <c r="AD88" s="65" t="s">
        <v>390</v>
      </c>
      <c r="AE88" s="65" t="s">
        <v>701</v>
      </c>
      <c r="AF88" s="65" t="s">
        <v>702</v>
      </c>
      <c r="AG88" s="65" t="s">
        <v>703</v>
      </c>
      <c r="AH88" s="65" t="s">
        <v>704</v>
      </c>
    </row>
    <row r="89" spans="1:34">
      <c r="A89" s="2"/>
      <c r="B89" s="2"/>
      <c r="E89" s="8"/>
      <c r="G89" s="8"/>
      <c r="H89" s="16"/>
      <c r="I89" s="4"/>
      <c r="J89" s="12"/>
      <c r="K89" s="12"/>
      <c r="M89" s="4"/>
      <c r="O89" s="25" t="s">
        <v>568</v>
      </c>
      <c r="P89" s="65"/>
      <c r="Q89" s="65" t="s">
        <v>705</v>
      </c>
      <c r="R89" s="65" t="s">
        <v>57</v>
      </c>
      <c r="S89" s="65" t="s">
        <v>706</v>
      </c>
      <c r="T89" s="65"/>
      <c r="U89" s="65"/>
      <c r="V89" s="65" t="s">
        <v>707</v>
      </c>
      <c r="W89" s="65" t="s">
        <v>708</v>
      </c>
      <c r="X89" s="65" t="s">
        <v>709</v>
      </c>
      <c r="Y89" s="65" t="s">
        <v>710</v>
      </c>
      <c r="Z89" s="65"/>
      <c r="AA89" s="65" t="s">
        <v>711</v>
      </c>
      <c r="AB89" s="65" t="s">
        <v>712</v>
      </c>
      <c r="AC89" s="65" t="s">
        <v>713</v>
      </c>
      <c r="AD89" s="65" t="s">
        <v>714</v>
      </c>
      <c r="AE89" s="65" t="s">
        <v>715</v>
      </c>
      <c r="AF89" s="65" t="s">
        <v>716</v>
      </c>
      <c r="AG89" s="65" t="s">
        <v>716</v>
      </c>
      <c r="AH89" s="65" t="s">
        <v>717</v>
      </c>
    </row>
    <row r="90" spans="1:34">
      <c r="A90" s="2"/>
      <c r="B90" s="2"/>
      <c r="E90" s="8"/>
      <c r="G90" s="8"/>
      <c r="H90" s="16"/>
      <c r="I90" s="4"/>
      <c r="J90" s="12"/>
      <c r="K90" s="12"/>
      <c r="M90" s="4"/>
      <c r="O90" s="25" t="s">
        <v>569</v>
      </c>
    </row>
    <row r="91" spans="1:34">
      <c r="A91" s="2" t="s">
        <v>38</v>
      </c>
      <c r="B91" s="2" t="s">
        <v>39</v>
      </c>
      <c r="C91" s="1" t="s">
        <v>718</v>
      </c>
      <c r="D91" s="1" t="s">
        <v>718</v>
      </c>
      <c r="E91" s="8" t="s">
        <v>549</v>
      </c>
      <c r="F91" s="1" t="s">
        <v>718</v>
      </c>
      <c r="G91" s="8" t="s">
        <v>550</v>
      </c>
      <c r="H91" s="16"/>
      <c r="I91" s="4" t="s">
        <v>690</v>
      </c>
      <c r="J91" s="12" t="s">
        <v>552</v>
      </c>
      <c r="K91" s="12" t="s">
        <v>552</v>
      </c>
      <c r="M91" s="4" t="s">
        <v>553</v>
      </c>
      <c r="N91" s="1" t="s">
        <v>718</v>
      </c>
      <c r="O91" s="26" t="s">
        <v>719</v>
      </c>
    </row>
    <row r="92" spans="1:34">
      <c r="A92" s="2" t="s">
        <v>38</v>
      </c>
      <c r="B92" s="2" t="s">
        <v>39</v>
      </c>
      <c r="C92" s="1" t="s">
        <v>720</v>
      </c>
      <c r="D92" s="1" t="s">
        <v>720</v>
      </c>
      <c r="E92" s="9" t="s">
        <v>721</v>
      </c>
      <c r="F92" s="1" t="s">
        <v>720</v>
      </c>
      <c r="G92" s="9" t="s">
        <v>722</v>
      </c>
      <c r="H92"/>
      <c r="I92" s="5" t="s">
        <v>723</v>
      </c>
      <c r="J92" s="13">
        <v>104</v>
      </c>
      <c r="K92" s="13">
        <v>200</v>
      </c>
      <c r="M92" s="5" t="s">
        <v>724</v>
      </c>
      <c r="N92" s="1" t="s">
        <v>720</v>
      </c>
      <c r="O92" s="26" t="s">
        <v>725</v>
      </c>
    </row>
    <row r="93" spans="1:34">
      <c r="A93" s="2" t="s">
        <v>38</v>
      </c>
      <c r="B93" s="2" t="s">
        <v>39</v>
      </c>
      <c r="C93" s="1" t="s">
        <v>726</v>
      </c>
      <c r="D93" s="1" t="s">
        <v>726</v>
      </c>
      <c r="E93" s="9" t="s">
        <v>721</v>
      </c>
      <c r="F93" s="1" t="s">
        <v>726</v>
      </c>
      <c r="G93" s="9" t="s">
        <v>722</v>
      </c>
      <c r="H93"/>
      <c r="I93" s="5" t="s">
        <v>723</v>
      </c>
      <c r="J93" s="13">
        <v>104</v>
      </c>
      <c r="K93" s="13">
        <v>200</v>
      </c>
      <c r="M93" s="5" t="s">
        <v>724</v>
      </c>
      <c r="N93" s="1" t="s">
        <v>726</v>
      </c>
      <c r="O93" s="26" t="s">
        <v>523</v>
      </c>
    </row>
    <row r="94" spans="1:34">
      <c r="A94" s="2" t="s">
        <v>38</v>
      </c>
      <c r="B94" s="2" t="s">
        <v>39</v>
      </c>
      <c r="C94" s="1" t="s">
        <v>727</v>
      </c>
      <c r="D94" s="1" t="s">
        <v>727</v>
      </c>
      <c r="E94" s="9" t="s">
        <v>721</v>
      </c>
      <c r="F94" s="1" t="s">
        <v>727</v>
      </c>
      <c r="G94" s="9" t="s">
        <v>722</v>
      </c>
      <c r="H94"/>
      <c r="I94" s="5" t="s">
        <v>728</v>
      </c>
      <c r="J94" s="13">
        <v>56</v>
      </c>
      <c r="K94" s="13">
        <v>280</v>
      </c>
      <c r="M94" s="5" t="s">
        <v>724</v>
      </c>
      <c r="N94" s="1" t="s">
        <v>727</v>
      </c>
      <c r="O94" s="26" t="s">
        <v>729</v>
      </c>
      <c r="Z94" s="37"/>
    </row>
    <row r="95" spans="1:34">
      <c r="A95" s="2" t="s">
        <v>38</v>
      </c>
      <c r="B95" s="2" t="s">
        <v>39</v>
      </c>
      <c r="C95" s="1" t="s">
        <v>730</v>
      </c>
      <c r="D95" s="1" t="s">
        <v>730</v>
      </c>
      <c r="E95" s="9" t="s">
        <v>721</v>
      </c>
      <c r="F95" s="1" t="s">
        <v>730</v>
      </c>
      <c r="G95" s="9" t="s">
        <v>722</v>
      </c>
      <c r="H95"/>
      <c r="I95" s="5" t="s">
        <v>728</v>
      </c>
      <c r="J95" s="13">
        <v>56</v>
      </c>
      <c r="K95" s="13">
        <v>280</v>
      </c>
      <c r="M95" s="5" t="s">
        <v>724</v>
      </c>
      <c r="N95" s="1" t="s">
        <v>730</v>
      </c>
      <c r="O95" s="26" t="s">
        <v>731</v>
      </c>
      <c r="Z95" s="37"/>
    </row>
    <row r="96" spans="1:34">
      <c r="A96" s="2" t="s">
        <v>38</v>
      </c>
      <c r="B96" s="2" t="s">
        <v>39</v>
      </c>
      <c r="C96" s="1" t="s">
        <v>732</v>
      </c>
      <c r="D96" s="1" t="s">
        <v>732</v>
      </c>
      <c r="E96" s="7" t="s">
        <v>733</v>
      </c>
      <c r="F96" s="1" t="s">
        <v>732</v>
      </c>
      <c r="G96" s="7" t="s">
        <v>45</v>
      </c>
      <c r="I96" s="3" t="s">
        <v>46</v>
      </c>
      <c r="M96" s="14" t="s">
        <v>96</v>
      </c>
      <c r="N96" s="1" t="s">
        <v>732</v>
      </c>
      <c r="O96" s="26" t="s">
        <v>370</v>
      </c>
      <c r="Z96" s="37"/>
    </row>
    <row r="97" spans="1:40">
      <c r="A97" s="2" t="s">
        <v>38</v>
      </c>
      <c r="B97" s="2" t="s">
        <v>39</v>
      </c>
      <c r="C97" s="1" t="s">
        <v>734</v>
      </c>
      <c r="D97" s="1" t="s">
        <v>734</v>
      </c>
      <c r="E97" s="20" t="s">
        <v>735</v>
      </c>
      <c r="F97" s="1" t="s">
        <v>734</v>
      </c>
      <c r="G97" s="20" t="s">
        <v>736</v>
      </c>
      <c r="I97" s="18" t="s">
        <v>737</v>
      </c>
      <c r="M97" s="19" t="s">
        <v>738</v>
      </c>
      <c r="N97" s="1" t="s">
        <v>734</v>
      </c>
      <c r="O97" s="25" t="s">
        <v>739</v>
      </c>
      <c r="P97" s="29" t="s">
        <v>156</v>
      </c>
      <c r="Z97" s="37"/>
    </row>
    <row r="98" spans="1:40">
      <c r="A98" s="2" t="s">
        <v>38</v>
      </c>
      <c r="B98" s="2" t="s">
        <v>39</v>
      </c>
      <c r="C98" s="1" t="s">
        <v>740</v>
      </c>
      <c r="D98" s="1" t="s">
        <v>740</v>
      </c>
      <c r="E98" s="20" t="s">
        <v>741</v>
      </c>
      <c r="F98" s="1" t="s">
        <v>740</v>
      </c>
      <c r="G98" s="20" t="s">
        <v>742</v>
      </c>
      <c r="I98" s="18" t="s">
        <v>743</v>
      </c>
      <c r="M98" s="19" t="s">
        <v>738</v>
      </c>
      <c r="N98" s="1" t="s">
        <v>740</v>
      </c>
      <c r="O98" s="26" t="s">
        <v>744</v>
      </c>
      <c r="Y98" s="37"/>
      <c r="Z98" s="37"/>
    </row>
    <row r="99" spans="1:40">
      <c r="A99" s="2" t="s">
        <v>38</v>
      </c>
      <c r="B99" s="2" t="s">
        <v>39</v>
      </c>
      <c r="C99" s="1" t="s">
        <v>745</v>
      </c>
      <c r="D99" s="1" t="s">
        <v>745</v>
      </c>
      <c r="E99" s="20" t="s">
        <v>735</v>
      </c>
      <c r="F99" s="1" t="s">
        <v>745</v>
      </c>
      <c r="G99" s="20" t="s">
        <v>742</v>
      </c>
      <c r="I99" s="18" t="s">
        <v>746</v>
      </c>
      <c r="M99" s="19" t="s">
        <v>738</v>
      </c>
      <c r="N99" s="1" t="s">
        <v>745</v>
      </c>
      <c r="O99" s="26" t="s">
        <v>747</v>
      </c>
      <c r="Y99" s="37"/>
      <c r="Z99" s="37"/>
    </row>
    <row r="100" spans="1:40">
      <c r="A100" s="2" t="s">
        <v>38</v>
      </c>
      <c r="B100" s="2" t="s">
        <v>39</v>
      </c>
      <c r="C100" s="1" t="s">
        <v>748</v>
      </c>
      <c r="D100" s="1" t="s">
        <v>748</v>
      </c>
      <c r="E100" s="9" t="s">
        <v>721</v>
      </c>
      <c r="F100" s="1" t="s">
        <v>748</v>
      </c>
      <c r="G100" s="9" t="s">
        <v>722</v>
      </c>
      <c r="I100" s="5" t="s">
        <v>728</v>
      </c>
      <c r="J100" s="13">
        <v>56</v>
      </c>
      <c r="K100" s="13">
        <v>280</v>
      </c>
      <c r="M100" s="5" t="s">
        <v>724</v>
      </c>
      <c r="N100" s="1" t="s">
        <v>748</v>
      </c>
      <c r="O100" s="25" t="s">
        <v>749</v>
      </c>
      <c r="P100" s="26" t="s">
        <v>750</v>
      </c>
      <c r="Q100" s="26" t="s">
        <v>751</v>
      </c>
      <c r="R100" s="26" t="s">
        <v>77</v>
      </c>
      <c r="S100" s="26" t="s">
        <v>752</v>
      </c>
      <c r="T100" s="26" t="s">
        <v>59</v>
      </c>
      <c r="U100" s="26" t="s">
        <v>753</v>
      </c>
      <c r="V100" s="26" t="s">
        <v>754</v>
      </c>
      <c r="W100" s="27" t="s">
        <v>755</v>
      </c>
      <c r="X100" s="26" t="s">
        <v>756</v>
      </c>
      <c r="Y100" s="37" t="s">
        <v>757</v>
      </c>
      <c r="Z100" s="37" t="str">
        <f>Y100</f>
        <v xml:space="preserve">3989 </v>
      </c>
      <c r="AA100" s="26" t="s">
        <v>758</v>
      </c>
      <c r="AB100" s="26" t="s">
        <v>759</v>
      </c>
      <c r="AC100" s="26" t="s">
        <v>760</v>
      </c>
      <c r="AD100" s="26" t="s">
        <v>761</v>
      </c>
      <c r="AE100" s="26" t="s">
        <v>762</v>
      </c>
      <c r="AF100" s="26" t="s">
        <v>763</v>
      </c>
      <c r="AG100" s="26" t="s">
        <v>763</v>
      </c>
      <c r="AH100" s="26" t="s">
        <v>764</v>
      </c>
      <c r="AN100" s="1" t="s">
        <v>765</v>
      </c>
    </row>
    <row r="101" spans="1:40" ht="23.25">
      <c r="A101" s="2" t="s">
        <v>38</v>
      </c>
      <c r="B101" s="2"/>
      <c r="E101" s="9"/>
      <c r="G101" s="9"/>
      <c r="I101" s="5"/>
      <c r="J101" s="13"/>
      <c r="K101" s="13"/>
      <c r="M101" s="5"/>
      <c r="O101" s="30" t="s">
        <v>766</v>
      </c>
      <c r="P101" s="26" t="s">
        <v>750</v>
      </c>
      <c r="Q101" s="26" t="s">
        <v>767</v>
      </c>
      <c r="R101" s="26" t="s">
        <v>768</v>
      </c>
      <c r="S101" s="38" t="s">
        <v>769</v>
      </c>
      <c r="T101" s="26" t="s">
        <v>770</v>
      </c>
      <c r="U101" s="26" t="s">
        <v>753</v>
      </c>
      <c r="V101" s="26" t="s">
        <v>771</v>
      </c>
      <c r="W101" s="27" t="s">
        <v>772</v>
      </c>
      <c r="X101" s="38" t="s">
        <v>773</v>
      </c>
      <c r="Y101" s="37" t="s">
        <v>774</v>
      </c>
      <c r="Z101" s="37" t="str">
        <f>Y101</f>
        <v>3491</v>
      </c>
      <c r="AA101" s="26" t="s">
        <v>775</v>
      </c>
      <c r="AB101" s="26" t="s">
        <v>776</v>
      </c>
      <c r="AC101" s="26" t="s">
        <v>777</v>
      </c>
      <c r="AD101" s="26" t="s">
        <v>299</v>
      </c>
      <c r="AE101" s="26" t="s">
        <v>778</v>
      </c>
      <c r="AF101" s="26" t="s">
        <v>779</v>
      </c>
      <c r="AG101" s="26" t="s">
        <v>779</v>
      </c>
      <c r="AH101" s="26" t="s">
        <v>780</v>
      </c>
      <c r="AI101" s="26" t="s">
        <v>781</v>
      </c>
      <c r="AJ101" s="26" t="s">
        <v>782</v>
      </c>
      <c r="AK101" s="26" t="s">
        <v>783</v>
      </c>
      <c r="AL101" s="26" t="s">
        <v>784</v>
      </c>
      <c r="AM101" s="26" t="s">
        <v>785</v>
      </c>
      <c r="AN101" s="1" t="s">
        <v>765</v>
      </c>
    </row>
    <row r="102" spans="1:40" ht="23.25">
      <c r="A102" s="2" t="s">
        <v>38</v>
      </c>
      <c r="B102" s="2"/>
      <c r="E102" s="9"/>
      <c r="G102" s="9"/>
      <c r="I102" s="5"/>
      <c r="J102" s="13"/>
      <c r="K102" s="13"/>
      <c r="M102" s="5"/>
      <c r="O102" s="30" t="s">
        <v>786</v>
      </c>
      <c r="P102" s="26" t="s">
        <v>750</v>
      </c>
      <c r="Q102" s="31" t="s">
        <v>787</v>
      </c>
      <c r="R102" s="26" t="s">
        <v>788</v>
      </c>
      <c r="S102" s="38" t="s">
        <v>789</v>
      </c>
      <c r="T102" s="26" t="s">
        <v>790</v>
      </c>
      <c r="U102" s="26" t="s">
        <v>791</v>
      </c>
      <c r="V102" s="26" t="s">
        <v>792</v>
      </c>
      <c r="W102" s="27" t="s">
        <v>793</v>
      </c>
      <c r="X102" s="38" t="s">
        <v>794</v>
      </c>
      <c r="Y102" s="37" t="s">
        <v>795</v>
      </c>
      <c r="Z102" s="37" t="str">
        <f>Y102</f>
        <v>3503</v>
      </c>
      <c r="AA102" s="26" t="s">
        <v>775</v>
      </c>
      <c r="AB102" s="26" t="s">
        <v>796</v>
      </c>
      <c r="AC102" s="26" t="s">
        <v>797</v>
      </c>
      <c r="AD102" s="26" t="s">
        <v>798</v>
      </c>
      <c r="AE102" s="26" t="s">
        <v>799</v>
      </c>
      <c r="AF102" s="26" t="s">
        <v>800</v>
      </c>
      <c r="AG102" s="26" t="s">
        <v>800</v>
      </c>
      <c r="AH102" s="26" t="s">
        <v>801</v>
      </c>
      <c r="AJ102" s="26" t="s">
        <v>802</v>
      </c>
      <c r="AK102" s="26" t="s">
        <v>803</v>
      </c>
      <c r="AL102" s="26" t="s">
        <v>784</v>
      </c>
      <c r="AM102" s="26" t="s">
        <v>785</v>
      </c>
      <c r="AN102" s="1" t="s">
        <v>765</v>
      </c>
    </row>
    <row r="103" spans="1:40">
      <c r="A103" s="2" t="s">
        <v>38</v>
      </c>
      <c r="B103" s="2"/>
      <c r="E103" s="9"/>
      <c r="G103" s="9"/>
      <c r="I103" s="5"/>
      <c r="J103" s="13"/>
      <c r="K103" s="13"/>
      <c r="M103" s="5"/>
      <c r="O103" s="30" t="s">
        <v>804</v>
      </c>
      <c r="P103" s="26" t="s">
        <v>750</v>
      </c>
      <c r="Q103" s="31">
        <f>(6.1+4.5+2.1+3.2+0.6+1.8+2.7)/(100-11.2)</f>
        <v>0.23648648648648649</v>
      </c>
      <c r="R103" s="26" t="s">
        <v>805</v>
      </c>
      <c r="S103" s="53" t="s">
        <v>806</v>
      </c>
      <c r="T103" s="26" t="s">
        <v>59</v>
      </c>
      <c r="U103" s="26" t="s">
        <v>79</v>
      </c>
      <c r="V103" s="26" t="s">
        <v>807</v>
      </c>
      <c r="W103" s="27" t="s">
        <v>808</v>
      </c>
      <c r="X103" s="25" t="s">
        <v>809</v>
      </c>
      <c r="Y103" s="37" t="s">
        <v>810</v>
      </c>
      <c r="Z103" s="37">
        <f>Y103/6</f>
        <v>1488.6666666666667</v>
      </c>
      <c r="AA103" s="26" t="s">
        <v>811</v>
      </c>
      <c r="AB103" s="26" t="s">
        <v>812</v>
      </c>
      <c r="AC103" s="26" t="s">
        <v>813</v>
      </c>
      <c r="AD103" s="25" t="s">
        <v>814</v>
      </c>
      <c r="AE103" s="26" t="s">
        <v>815</v>
      </c>
      <c r="AF103" s="26" t="s">
        <v>816</v>
      </c>
      <c r="AG103" s="26" t="s">
        <v>817</v>
      </c>
      <c r="AH103" s="26" t="s">
        <v>818</v>
      </c>
      <c r="AJ103" s="27" t="s">
        <v>819</v>
      </c>
      <c r="AK103" s="27" t="s">
        <v>820</v>
      </c>
      <c r="AL103" s="27" t="s">
        <v>784</v>
      </c>
      <c r="AM103" s="27" t="s">
        <v>785</v>
      </c>
      <c r="AN103" s="1" t="s">
        <v>765</v>
      </c>
    </row>
    <row r="104" spans="1:40">
      <c r="A104" s="2" t="s">
        <v>38</v>
      </c>
      <c r="B104" s="2"/>
      <c r="E104" s="9"/>
      <c r="G104" s="9"/>
      <c r="I104" s="5"/>
      <c r="J104" s="13"/>
      <c r="K104" s="13"/>
      <c r="M104" s="5"/>
      <c r="O104" s="30" t="s">
        <v>821</v>
      </c>
      <c r="P104" s="26" t="s">
        <v>750</v>
      </c>
      <c r="Q104" s="35">
        <v>0.38400000000000001</v>
      </c>
      <c r="R104" s="26" t="s">
        <v>805</v>
      </c>
      <c r="S104" s="38" t="s">
        <v>822</v>
      </c>
      <c r="T104" s="26" t="s">
        <v>59</v>
      </c>
      <c r="U104" s="26" t="s">
        <v>464</v>
      </c>
      <c r="V104" s="26" t="s">
        <v>823</v>
      </c>
      <c r="W104" s="27" t="s">
        <v>824</v>
      </c>
      <c r="X104" s="26" t="s">
        <v>825</v>
      </c>
      <c r="Y104" s="37" t="s">
        <v>826</v>
      </c>
      <c r="Z104" s="37">
        <f>Y104/3</f>
        <v>2628.3333333333335</v>
      </c>
      <c r="AA104" s="26" t="s">
        <v>827</v>
      </c>
      <c r="AB104" s="26" t="s">
        <v>828</v>
      </c>
      <c r="AC104" s="26" t="s">
        <v>829</v>
      </c>
      <c r="AD104" s="26" t="s">
        <v>116</v>
      </c>
      <c r="AE104" s="26" t="s">
        <v>830</v>
      </c>
      <c r="AF104" s="26" t="s">
        <v>831</v>
      </c>
      <c r="AG104" s="26" t="s">
        <v>832</v>
      </c>
      <c r="AH104" s="26" t="s">
        <v>833</v>
      </c>
      <c r="AN104" s="1" t="s">
        <v>765</v>
      </c>
    </row>
    <row r="105" spans="1:40" ht="23.25">
      <c r="A105" s="2" t="s">
        <v>38</v>
      </c>
      <c r="B105" s="2"/>
      <c r="E105" s="9"/>
      <c r="G105" s="9"/>
      <c r="I105" s="5"/>
      <c r="J105" s="13"/>
      <c r="K105" s="13"/>
      <c r="M105" s="5"/>
      <c r="O105" s="30" t="s">
        <v>834</v>
      </c>
      <c r="P105" s="26" t="s">
        <v>750</v>
      </c>
      <c r="Q105" s="31" t="s">
        <v>835</v>
      </c>
      <c r="R105" s="26" t="s">
        <v>836</v>
      </c>
      <c r="S105" s="53" t="s">
        <v>837</v>
      </c>
      <c r="T105" s="26" t="s">
        <v>838</v>
      </c>
      <c r="U105" s="26" t="s">
        <v>464</v>
      </c>
      <c r="V105" s="26" t="s">
        <v>839</v>
      </c>
      <c r="W105" s="27" t="s">
        <v>840</v>
      </c>
      <c r="X105" s="38" t="s">
        <v>841</v>
      </c>
      <c r="Y105" s="37">
        <v>7053</v>
      </c>
      <c r="Z105" s="37">
        <f>Y105/3</f>
        <v>2351</v>
      </c>
      <c r="AA105" s="26" t="s">
        <v>842</v>
      </c>
      <c r="AB105" s="26" t="s">
        <v>843</v>
      </c>
      <c r="AC105" s="26" t="s">
        <v>844</v>
      </c>
      <c r="AD105" s="53" t="s">
        <v>845</v>
      </c>
      <c r="AE105" s="26" t="s">
        <v>846</v>
      </c>
      <c r="AF105" s="26" t="s">
        <v>847</v>
      </c>
      <c r="AG105" s="26" t="s">
        <v>848</v>
      </c>
      <c r="AH105" s="26" t="s">
        <v>849</v>
      </c>
      <c r="AJ105" s="27" t="s">
        <v>850</v>
      </c>
      <c r="AK105" s="27" t="s">
        <v>851</v>
      </c>
      <c r="AL105" s="27" t="s">
        <v>784</v>
      </c>
      <c r="AM105" s="27" t="s">
        <v>785</v>
      </c>
      <c r="AN105" s="1" t="s">
        <v>765</v>
      </c>
    </row>
    <row r="106" spans="1:40">
      <c r="A106" s="2" t="s">
        <v>38</v>
      </c>
      <c r="B106" s="2"/>
      <c r="E106" s="9"/>
      <c r="G106" s="9"/>
      <c r="I106" s="5"/>
      <c r="J106" s="13"/>
      <c r="K106" s="13"/>
      <c r="M106" s="5"/>
      <c r="O106" s="30" t="s">
        <v>852</v>
      </c>
      <c r="P106" s="26" t="s">
        <v>750</v>
      </c>
      <c r="Q106" s="31">
        <v>0.13</v>
      </c>
      <c r="R106" s="26" t="s">
        <v>805</v>
      </c>
      <c r="S106" s="38" t="s">
        <v>853</v>
      </c>
      <c r="T106" s="26" t="s">
        <v>59</v>
      </c>
      <c r="U106" s="26" t="s">
        <v>854</v>
      </c>
      <c r="V106" s="26" t="s">
        <v>855</v>
      </c>
      <c r="W106" s="27" t="s">
        <v>856</v>
      </c>
      <c r="X106" s="26" t="s">
        <v>857</v>
      </c>
      <c r="Y106" s="37" t="s">
        <v>858</v>
      </c>
      <c r="Z106" s="37">
        <f>Y106/2</f>
        <v>3025.5</v>
      </c>
      <c r="AA106" s="26" t="s">
        <v>775</v>
      </c>
      <c r="AB106" s="26" t="s">
        <v>409</v>
      </c>
      <c r="AC106" s="26" t="s">
        <v>859</v>
      </c>
      <c r="AD106" s="26" t="s">
        <v>860</v>
      </c>
      <c r="AE106" s="26" t="s">
        <v>861</v>
      </c>
      <c r="AF106" s="26" t="s">
        <v>862</v>
      </c>
      <c r="AG106" s="26" t="s">
        <v>862</v>
      </c>
      <c r="AH106" s="26" t="s">
        <v>863</v>
      </c>
      <c r="AN106" s="1" t="s">
        <v>765</v>
      </c>
    </row>
    <row r="107" spans="1:40" ht="23.25">
      <c r="A107" s="2" t="s">
        <v>38</v>
      </c>
      <c r="B107" s="2"/>
      <c r="E107" s="9"/>
      <c r="G107" s="9"/>
      <c r="I107" s="5"/>
      <c r="J107" s="13"/>
      <c r="K107" s="13"/>
      <c r="M107" s="5"/>
      <c r="O107" s="30" t="s">
        <v>864</v>
      </c>
      <c r="P107" s="26" t="s">
        <v>750</v>
      </c>
      <c r="Q107" s="31" t="s">
        <v>865</v>
      </c>
      <c r="R107" s="26" t="s">
        <v>866</v>
      </c>
      <c r="S107" s="53" t="s">
        <v>867</v>
      </c>
      <c r="T107" s="26" t="s">
        <v>868</v>
      </c>
      <c r="U107" s="26" t="s">
        <v>854</v>
      </c>
      <c r="V107" s="26" t="s">
        <v>869</v>
      </c>
      <c r="W107" s="27" t="s">
        <v>870</v>
      </c>
      <c r="X107" s="25" t="s">
        <v>871</v>
      </c>
      <c r="Y107" s="37">
        <v>3687</v>
      </c>
      <c r="Z107" s="37">
        <f>Y107/2</f>
        <v>1843.5</v>
      </c>
      <c r="AA107" s="26" t="s">
        <v>872</v>
      </c>
      <c r="AB107" s="26" t="s">
        <v>873</v>
      </c>
      <c r="AC107" s="26" t="s">
        <v>874</v>
      </c>
      <c r="AD107" s="26" t="s">
        <v>875</v>
      </c>
      <c r="AE107" s="26" t="s">
        <v>876</v>
      </c>
      <c r="AF107" s="26" t="s">
        <v>877</v>
      </c>
      <c r="AG107" s="26" t="s">
        <v>877</v>
      </c>
      <c r="AH107" s="26" t="s">
        <v>878</v>
      </c>
      <c r="AJ107" s="27" t="s">
        <v>879</v>
      </c>
      <c r="AK107" s="27" t="s">
        <v>880</v>
      </c>
      <c r="AL107" s="27" t="s">
        <v>104</v>
      </c>
      <c r="AM107" s="27" t="s">
        <v>785</v>
      </c>
      <c r="AN107" s="1" t="s">
        <v>765</v>
      </c>
    </row>
    <row r="108" spans="1:40">
      <c r="A108" s="2" t="s">
        <v>38</v>
      </c>
      <c r="B108" s="2" t="s">
        <v>39</v>
      </c>
      <c r="C108" s="1" t="s">
        <v>881</v>
      </c>
      <c r="D108" s="1" t="s">
        <v>881</v>
      </c>
      <c r="E108" s="9" t="s">
        <v>721</v>
      </c>
      <c r="F108" s="1" t="s">
        <v>881</v>
      </c>
      <c r="G108" s="9" t="s">
        <v>722</v>
      </c>
      <c r="I108" s="5" t="s">
        <v>728</v>
      </c>
      <c r="J108" s="13">
        <v>56</v>
      </c>
      <c r="K108" s="13">
        <v>280</v>
      </c>
      <c r="M108" s="5" t="s">
        <v>724</v>
      </c>
      <c r="N108" s="1" t="s">
        <v>881</v>
      </c>
      <c r="O108" s="26" t="s">
        <v>882</v>
      </c>
      <c r="Q108" s="31"/>
      <c r="Y108" s="36"/>
      <c r="Z108" s="37"/>
    </row>
    <row r="109" spans="1:40">
      <c r="A109" s="2" t="s">
        <v>38</v>
      </c>
      <c r="B109" s="2" t="s">
        <v>39</v>
      </c>
      <c r="C109" s="1" t="s">
        <v>883</v>
      </c>
      <c r="D109" s="1" t="s">
        <v>883</v>
      </c>
      <c r="E109" s="7" t="s">
        <v>884</v>
      </c>
      <c r="F109" s="1" t="s">
        <v>883</v>
      </c>
      <c r="G109" s="7" t="s">
        <v>45</v>
      </c>
      <c r="I109" s="3" t="s">
        <v>46</v>
      </c>
      <c r="M109" s="14" t="s">
        <v>96</v>
      </c>
      <c r="N109" s="1" t="s">
        <v>883</v>
      </c>
      <c r="O109" s="26" t="s">
        <v>885</v>
      </c>
      <c r="Y109" s="36"/>
      <c r="Z109" s="37"/>
    </row>
    <row r="110" spans="1:40">
      <c r="A110" s="2" t="s">
        <v>38</v>
      </c>
      <c r="B110" s="2" t="s">
        <v>39</v>
      </c>
      <c r="C110" s="1" t="s">
        <v>886</v>
      </c>
      <c r="D110" s="1" t="s">
        <v>886</v>
      </c>
      <c r="E110" s="7" t="s">
        <v>733</v>
      </c>
      <c r="F110" s="1" t="s">
        <v>886</v>
      </c>
      <c r="G110" s="7" t="s">
        <v>887</v>
      </c>
      <c r="I110" s="3" t="s">
        <v>888</v>
      </c>
      <c r="M110" s="14" t="s">
        <v>96</v>
      </c>
      <c r="N110" s="1" t="s">
        <v>886</v>
      </c>
      <c r="O110" s="25" t="s">
        <v>889</v>
      </c>
      <c r="P110" s="29" t="s">
        <v>156</v>
      </c>
      <c r="Y110" s="36"/>
    </row>
    <row r="111" spans="1:40">
      <c r="A111" s="2" t="s">
        <v>38</v>
      </c>
      <c r="B111" s="2" t="s">
        <v>39</v>
      </c>
      <c r="C111" s="1" t="s">
        <v>890</v>
      </c>
      <c r="D111" s="1" t="s">
        <v>890</v>
      </c>
      <c r="E111" s="9" t="s">
        <v>891</v>
      </c>
      <c r="F111" s="1" t="s">
        <v>890</v>
      </c>
      <c r="G111" s="9" t="s">
        <v>722</v>
      </c>
      <c r="I111" s="5" t="s">
        <v>723</v>
      </c>
      <c r="M111" s="5" t="s">
        <v>724</v>
      </c>
      <c r="N111" s="1" t="s">
        <v>890</v>
      </c>
      <c r="O111" s="26" t="s">
        <v>892</v>
      </c>
      <c r="Y111" s="36"/>
    </row>
    <row r="112" spans="1:40">
      <c r="A112" s="2" t="s">
        <v>38</v>
      </c>
      <c r="B112" s="2" t="s">
        <v>39</v>
      </c>
      <c r="C112" s="1" t="s">
        <v>893</v>
      </c>
      <c r="D112" s="1" t="s">
        <v>893</v>
      </c>
      <c r="E112" s="22" t="s">
        <v>894</v>
      </c>
      <c r="F112" s="1" t="s">
        <v>893</v>
      </c>
      <c r="G112" s="22" t="s">
        <v>894</v>
      </c>
      <c r="I112" s="1" t="s">
        <v>894</v>
      </c>
      <c r="M112" s="1" t="s">
        <v>894</v>
      </c>
      <c r="N112" s="1" t="s">
        <v>893</v>
      </c>
      <c r="Y112" s="36"/>
    </row>
    <row r="113" spans="1:25">
      <c r="A113" s="2" t="s">
        <v>38</v>
      </c>
      <c r="B113" s="2" t="s">
        <v>39</v>
      </c>
      <c r="C113" s="1" t="s">
        <v>895</v>
      </c>
      <c r="D113" s="1" t="s">
        <v>895</v>
      </c>
      <c r="E113" s="22" t="s">
        <v>894</v>
      </c>
      <c r="F113" s="1" t="s">
        <v>895</v>
      </c>
      <c r="G113" s="22" t="s">
        <v>894</v>
      </c>
      <c r="I113" s="1" t="s">
        <v>894</v>
      </c>
      <c r="M113" s="1" t="s">
        <v>894</v>
      </c>
      <c r="N113" s="1" t="s">
        <v>895</v>
      </c>
      <c r="Y113" s="36"/>
    </row>
    <row r="114" spans="1:25">
      <c r="A114" s="2" t="s">
        <v>38</v>
      </c>
      <c r="B114" s="2" t="s">
        <v>39</v>
      </c>
      <c r="C114" s="1" t="s">
        <v>896</v>
      </c>
      <c r="D114" s="1" t="s">
        <v>896</v>
      </c>
      <c r="E114" s="22" t="s">
        <v>894</v>
      </c>
      <c r="F114" s="1" t="s">
        <v>896</v>
      </c>
      <c r="G114" s="22" t="s">
        <v>894</v>
      </c>
      <c r="I114" s="1" t="s">
        <v>894</v>
      </c>
      <c r="M114" s="1" t="s">
        <v>894</v>
      </c>
      <c r="N114" s="1" t="s">
        <v>896</v>
      </c>
    </row>
    <row r="115" spans="1:25">
      <c r="A115" s="2" t="s">
        <v>38</v>
      </c>
      <c r="B115" s="2" t="s">
        <v>39</v>
      </c>
      <c r="C115" s="1" t="s">
        <v>897</v>
      </c>
      <c r="D115" s="1" t="s">
        <v>897</v>
      </c>
      <c r="E115" s="22" t="s">
        <v>894</v>
      </c>
      <c r="F115" s="1" t="s">
        <v>897</v>
      </c>
      <c r="G115" s="22" t="s">
        <v>894</v>
      </c>
      <c r="I115" s="1" t="s">
        <v>894</v>
      </c>
      <c r="M115" s="1" t="s">
        <v>894</v>
      </c>
      <c r="N115" s="1" t="s">
        <v>897</v>
      </c>
    </row>
    <row r="116" spans="1:25">
      <c r="A116" s="2" t="s">
        <v>38</v>
      </c>
      <c r="B116" s="2" t="s">
        <v>39</v>
      </c>
      <c r="C116" s="1" t="s">
        <v>898</v>
      </c>
      <c r="D116" s="1" t="s">
        <v>898</v>
      </c>
      <c r="E116" s="22" t="s">
        <v>894</v>
      </c>
      <c r="F116" s="1" t="s">
        <v>898</v>
      </c>
      <c r="G116" s="22" t="s">
        <v>894</v>
      </c>
      <c r="I116" s="1" t="s">
        <v>894</v>
      </c>
      <c r="M116" s="1" t="s">
        <v>894</v>
      </c>
      <c r="N116" s="1" t="s">
        <v>898</v>
      </c>
    </row>
    <row r="117" spans="1:25">
      <c r="A117" s="2" t="s">
        <v>38</v>
      </c>
      <c r="B117" s="2" t="s">
        <v>39</v>
      </c>
      <c r="C117" s="1" t="s">
        <v>899</v>
      </c>
      <c r="D117" s="1" t="s">
        <v>899</v>
      </c>
      <c r="E117" s="22" t="s">
        <v>894</v>
      </c>
      <c r="F117" s="1" t="s">
        <v>899</v>
      </c>
      <c r="G117" s="22" t="s">
        <v>894</v>
      </c>
      <c r="I117" s="1" t="s">
        <v>894</v>
      </c>
      <c r="M117" s="1" t="s">
        <v>894</v>
      </c>
      <c r="N117" s="1" t="s">
        <v>899</v>
      </c>
    </row>
    <row r="118" spans="1:25">
      <c r="A118" s="2" t="s">
        <v>38</v>
      </c>
      <c r="B118" s="2" t="s">
        <v>39</v>
      </c>
      <c r="C118" s="1" t="s">
        <v>900</v>
      </c>
      <c r="D118" s="1" t="s">
        <v>900</v>
      </c>
      <c r="E118" s="22" t="s">
        <v>894</v>
      </c>
      <c r="F118" s="1" t="s">
        <v>900</v>
      </c>
      <c r="G118" s="22" t="s">
        <v>894</v>
      </c>
      <c r="I118" s="1" t="s">
        <v>894</v>
      </c>
      <c r="M118" s="1" t="s">
        <v>894</v>
      </c>
      <c r="N118" s="1" t="s">
        <v>900</v>
      </c>
    </row>
    <row r="119" spans="1:25">
      <c r="A119" s="2" t="s">
        <v>38</v>
      </c>
      <c r="B119" s="2" t="s">
        <v>39</v>
      </c>
      <c r="C119" s="1" t="s">
        <v>901</v>
      </c>
      <c r="D119" s="1" t="s">
        <v>901</v>
      </c>
      <c r="E119" s="22" t="s">
        <v>894</v>
      </c>
      <c r="F119" s="1" t="s">
        <v>901</v>
      </c>
      <c r="G119" s="22" t="s">
        <v>894</v>
      </c>
      <c r="I119" s="1" t="s">
        <v>894</v>
      </c>
      <c r="M119" s="1" t="s">
        <v>894</v>
      </c>
      <c r="N119" s="1" t="s">
        <v>901</v>
      </c>
    </row>
    <row r="120" spans="1:25">
      <c r="A120" s="2" t="s">
        <v>38</v>
      </c>
      <c r="B120" s="2" t="s">
        <v>39</v>
      </c>
      <c r="C120" s="1" t="s">
        <v>902</v>
      </c>
      <c r="D120" s="1" t="s">
        <v>902</v>
      </c>
      <c r="E120" s="22" t="s">
        <v>894</v>
      </c>
      <c r="F120" s="1" t="s">
        <v>902</v>
      </c>
      <c r="G120" s="22" t="s">
        <v>894</v>
      </c>
      <c r="I120" s="1" t="s">
        <v>894</v>
      </c>
      <c r="M120" s="1" t="s">
        <v>894</v>
      </c>
      <c r="N120" s="1" t="s">
        <v>902</v>
      </c>
    </row>
    <row r="121" spans="1:25">
      <c r="A121" s="2" t="s">
        <v>38</v>
      </c>
      <c r="B121" s="2" t="s">
        <v>39</v>
      </c>
      <c r="C121" s="1" t="s">
        <v>903</v>
      </c>
      <c r="D121" s="1" t="s">
        <v>903</v>
      </c>
      <c r="E121" s="22" t="s">
        <v>894</v>
      </c>
      <c r="F121" s="1" t="s">
        <v>903</v>
      </c>
      <c r="G121" s="22" t="s">
        <v>894</v>
      </c>
      <c r="I121" s="1" t="s">
        <v>894</v>
      </c>
      <c r="M121" s="1" t="s">
        <v>894</v>
      </c>
      <c r="N121" s="1" t="s">
        <v>903</v>
      </c>
    </row>
    <row r="122" spans="1:25">
      <c r="A122" s="2" t="s">
        <v>38</v>
      </c>
      <c r="B122" s="2" t="s">
        <v>39</v>
      </c>
      <c r="C122" s="1" t="s">
        <v>904</v>
      </c>
      <c r="D122" s="1" t="s">
        <v>904</v>
      </c>
      <c r="E122" s="22" t="s">
        <v>894</v>
      </c>
      <c r="F122" s="1" t="s">
        <v>904</v>
      </c>
      <c r="G122" s="22" t="s">
        <v>894</v>
      </c>
      <c r="I122" s="1" t="s">
        <v>894</v>
      </c>
      <c r="M122" s="1" t="s">
        <v>894</v>
      </c>
      <c r="N122" s="1" t="s">
        <v>904</v>
      </c>
    </row>
    <row r="123" spans="1:25">
      <c r="A123" s="2" t="s">
        <v>38</v>
      </c>
      <c r="B123" s="2" t="s">
        <v>39</v>
      </c>
      <c r="C123" s="1" t="s">
        <v>905</v>
      </c>
      <c r="D123" s="1" t="s">
        <v>905</v>
      </c>
      <c r="E123" s="22" t="s">
        <v>894</v>
      </c>
      <c r="F123" s="1" t="s">
        <v>905</v>
      </c>
      <c r="G123" s="22" t="s">
        <v>894</v>
      </c>
      <c r="I123" s="1" t="s">
        <v>894</v>
      </c>
      <c r="M123" s="1" t="s">
        <v>894</v>
      </c>
      <c r="N123" s="1" t="s">
        <v>905</v>
      </c>
    </row>
    <row r="124" spans="1:25">
      <c r="A124" s="2" t="s">
        <v>38</v>
      </c>
      <c r="B124" s="2" t="s">
        <v>39</v>
      </c>
      <c r="C124" s="1" t="s">
        <v>906</v>
      </c>
      <c r="D124" s="1" t="s">
        <v>906</v>
      </c>
      <c r="E124" s="22" t="s">
        <v>894</v>
      </c>
      <c r="F124" s="1" t="s">
        <v>906</v>
      </c>
      <c r="G124" s="22" t="s">
        <v>894</v>
      </c>
      <c r="I124" s="1" t="s">
        <v>894</v>
      </c>
      <c r="M124" s="1" t="s">
        <v>894</v>
      </c>
      <c r="N124" s="1" t="s">
        <v>906</v>
      </c>
    </row>
    <row r="125" spans="1:25">
      <c r="A125" s="2" t="s">
        <v>38</v>
      </c>
      <c r="B125" s="2" t="s">
        <v>39</v>
      </c>
      <c r="C125" s="1" t="s">
        <v>907</v>
      </c>
      <c r="D125" s="1" t="s">
        <v>907</v>
      </c>
      <c r="E125" s="22" t="s">
        <v>894</v>
      </c>
      <c r="F125" s="1" t="s">
        <v>907</v>
      </c>
      <c r="G125" s="22" t="s">
        <v>894</v>
      </c>
      <c r="I125" s="1" t="s">
        <v>894</v>
      </c>
      <c r="M125" s="1" t="s">
        <v>894</v>
      </c>
      <c r="N125" s="1" t="s">
        <v>907</v>
      </c>
    </row>
    <row r="126" spans="1:25">
      <c r="A126" s="2" t="s">
        <v>38</v>
      </c>
      <c r="B126" s="2" t="s">
        <v>39</v>
      </c>
      <c r="C126" s="1" t="s">
        <v>908</v>
      </c>
      <c r="D126" s="1" t="s">
        <v>908</v>
      </c>
      <c r="E126" s="22" t="s">
        <v>894</v>
      </c>
      <c r="F126" s="1" t="s">
        <v>908</v>
      </c>
      <c r="G126" s="22" t="s">
        <v>894</v>
      </c>
      <c r="I126" s="1" t="s">
        <v>894</v>
      </c>
      <c r="M126" s="1" t="s">
        <v>894</v>
      </c>
      <c r="N126" s="1" t="s">
        <v>908</v>
      </c>
    </row>
    <row r="127" spans="1:25">
      <c r="A127" s="2" t="s">
        <v>38</v>
      </c>
      <c r="B127" s="2" t="s">
        <v>39</v>
      </c>
      <c r="C127" s="1" t="s">
        <v>909</v>
      </c>
      <c r="D127" s="1" t="s">
        <v>909</v>
      </c>
      <c r="E127" s="22" t="s">
        <v>894</v>
      </c>
      <c r="F127" s="1" t="s">
        <v>909</v>
      </c>
      <c r="G127" s="22" t="s">
        <v>894</v>
      </c>
      <c r="I127" s="1" t="s">
        <v>894</v>
      </c>
      <c r="M127" s="1" t="s">
        <v>894</v>
      </c>
      <c r="N127" s="1" t="s">
        <v>909</v>
      </c>
    </row>
    <row r="128" spans="1:25">
      <c r="A128" s="2" t="s">
        <v>38</v>
      </c>
      <c r="B128" s="2" t="s">
        <v>39</v>
      </c>
      <c r="C128" s="1" t="s">
        <v>910</v>
      </c>
      <c r="D128" s="1" t="s">
        <v>910</v>
      </c>
      <c r="E128" s="22" t="s">
        <v>894</v>
      </c>
      <c r="F128" s="1" t="s">
        <v>910</v>
      </c>
      <c r="G128" s="22" t="s">
        <v>894</v>
      </c>
      <c r="I128" s="1" t="s">
        <v>894</v>
      </c>
      <c r="M128" s="1" t="s">
        <v>894</v>
      </c>
      <c r="N128" s="1" t="s">
        <v>910</v>
      </c>
    </row>
    <row r="129" spans="1:14">
      <c r="A129" s="2" t="s">
        <v>38</v>
      </c>
      <c r="B129" s="2" t="s">
        <v>39</v>
      </c>
      <c r="C129" s="1" t="s">
        <v>911</v>
      </c>
      <c r="D129" s="1" t="s">
        <v>911</v>
      </c>
      <c r="E129" s="22" t="s">
        <v>894</v>
      </c>
      <c r="F129" s="1" t="s">
        <v>911</v>
      </c>
      <c r="G129" s="22" t="s">
        <v>894</v>
      </c>
      <c r="I129" s="1" t="s">
        <v>894</v>
      </c>
      <c r="M129" s="1" t="s">
        <v>894</v>
      </c>
      <c r="N129" s="1" t="s">
        <v>911</v>
      </c>
    </row>
    <row r="130" spans="1:14">
      <c r="A130" s="2" t="s">
        <v>38</v>
      </c>
      <c r="B130" s="2" t="s">
        <v>39</v>
      </c>
      <c r="C130" s="1" t="s">
        <v>912</v>
      </c>
      <c r="D130" s="1" t="s">
        <v>912</v>
      </c>
      <c r="E130" s="22" t="s">
        <v>894</v>
      </c>
      <c r="F130" s="1" t="s">
        <v>912</v>
      </c>
      <c r="G130" s="22" t="s">
        <v>894</v>
      </c>
      <c r="I130" s="1" t="s">
        <v>894</v>
      </c>
      <c r="M130" s="1" t="s">
        <v>894</v>
      </c>
      <c r="N130" s="1" t="s">
        <v>912</v>
      </c>
    </row>
    <row r="131" spans="1:14">
      <c r="A131" s="2" t="s">
        <v>38</v>
      </c>
      <c r="B131" s="2" t="s">
        <v>39</v>
      </c>
      <c r="C131" s="1" t="s">
        <v>913</v>
      </c>
      <c r="D131" s="1" t="s">
        <v>913</v>
      </c>
      <c r="E131" s="22" t="s">
        <v>894</v>
      </c>
      <c r="F131" s="1" t="s">
        <v>913</v>
      </c>
      <c r="G131" s="22" t="s">
        <v>894</v>
      </c>
      <c r="I131" s="1" t="s">
        <v>894</v>
      </c>
      <c r="M131" s="1" t="s">
        <v>894</v>
      </c>
      <c r="N131" s="1" t="s">
        <v>913</v>
      </c>
    </row>
    <row r="132" spans="1:14">
      <c r="A132" s="2" t="s">
        <v>38</v>
      </c>
      <c r="B132" s="2" t="s">
        <v>39</v>
      </c>
      <c r="C132" s="1" t="s">
        <v>914</v>
      </c>
      <c r="D132" s="1" t="s">
        <v>914</v>
      </c>
      <c r="E132" s="22" t="s">
        <v>894</v>
      </c>
      <c r="F132" s="1" t="s">
        <v>914</v>
      </c>
      <c r="G132" s="22" t="s">
        <v>894</v>
      </c>
      <c r="I132" s="1" t="s">
        <v>894</v>
      </c>
      <c r="M132" s="1" t="s">
        <v>894</v>
      </c>
      <c r="N132" s="1" t="s">
        <v>914</v>
      </c>
    </row>
    <row r="133" spans="1:14">
      <c r="A133" s="2" t="s">
        <v>38</v>
      </c>
      <c r="B133" s="2" t="s">
        <v>39</v>
      </c>
      <c r="C133" s="1" t="s">
        <v>915</v>
      </c>
      <c r="D133" s="1" t="s">
        <v>915</v>
      </c>
      <c r="E133" s="22" t="s">
        <v>894</v>
      </c>
      <c r="F133" s="1" t="s">
        <v>915</v>
      </c>
      <c r="G133" s="22" t="s">
        <v>894</v>
      </c>
      <c r="I133" s="1" t="s">
        <v>894</v>
      </c>
      <c r="M133" s="1" t="s">
        <v>894</v>
      </c>
      <c r="N133" s="1" t="s">
        <v>915</v>
      </c>
    </row>
    <row r="134" spans="1:14">
      <c r="A134" s="2" t="s">
        <v>38</v>
      </c>
      <c r="B134" s="2" t="s">
        <v>39</v>
      </c>
      <c r="C134" s="1" t="s">
        <v>916</v>
      </c>
      <c r="D134" s="1" t="s">
        <v>916</v>
      </c>
      <c r="E134" s="22" t="s">
        <v>894</v>
      </c>
      <c r="F134" s="1" t="s">
        <v>916</v>
      </c>
      <c r="G134" s="22" t="s">
        <v>894</v>
      </c>
      <c r="I134" s="1" t="s">
        <v>894</v>
      </c>
      <c r="M134" s="1" t="s">
        <v>894</v>
      </c>
      <c r="N134" s="1" t="s">
        <v>916</v>
      </c>
    </row>
    <row r="135" spans="1:14">
      <c r="A135" s="2" t="s">
        <v>38</v>
      </c>
      <c r="B135" s="2" t="s">
        <v>39</v>
      </c>
      <c r="C135" s="1" t="s">
        <v>917</v>
      </c>
      <c r="D135" s="1" t="s">
        <v>917</v>
      </c>
      <c r="E135" s="22" t="s">
        <v>894</v>
      </c>
      <c r="F135" s="1" t="s">
        <v>917</v>
      </c>
      <c r="G135" s="22" t="s">
        <v>894</v>
      </c>
      <c r="I135" s="1" t="s">
        <v>894</v>
      </c>
      <c r="M135" s="1" t="s">
        <v>894</v>
      </c>
      <c r="N135" s="1" t="s">
        <v>917</v>
      </c>
    </row>
  </sheetData>
  <phoneticPr fontId="6" type="noConversion"/>
  <pageMargins left="0.78749999999999998" right="0.78749999999999998" top="0.78749999999999998" bottom="0.78749999999999998" header="0.51180555555555496" footer="0.51180555555555496"/>
  <pageSetup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4B4D-ECB1-4274-B3AD-63B0638398F2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>2</cp:revision>
  <dcterms:created xsi:type="dcterms:W3CDTF">2021-05-14T23:28:48Z</dcterms:created>
  <dcterms:modified xsi:type="dcterms:W3CDTF">2026-07-13T18:55:08Z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