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m01\OneDrive - Brigham Young University\Desktop\"/>
    </mc:Choice>
  </mc:AlternateContent>
  <xr:revisionPtr revIDLastSave="776" documentId="13_ncr:1_{A2AC54A2-073F-4D78-B674-219B9CFF347E}" xr6:coauthVersionLast="47" xr6:coauthVersionMax="47" xr10:uidLastSave="{B7FA92EB-0AFA-4864-9897-A133AFF11F01}"/>
  <bookViews>
    <workbookView xWindow="25080" yWindow="-120" windowWidth="25440" windowHeight="15270" xr2:uid="{22E56827-67F3-4B95-83E5-DA90BC10BE4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0" i="1" l="1"/>
  <c r="O96" i="1"/>
  <c r="O90" i="1"/>
  <c r="O99" i="1"/>
  <c r="O97" i="1"/>
  <c r="O93" i="1"/>
  <c r="O94" i="1"/>
</calcChain>
</file>

<file path=xl/sharedStrings.xml><?xml version="1.0" encoding="utf-8"?>
<sst xmlns="http://schemas.openxmlformats.org/spreadsheetml/2006/main" count="1054" uniqueCount="280">
  <si>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</si>
  <si>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</si>
  <si>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</si>
  <si>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</si>
  <si>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</si>
  <si>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</si>
  <si>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</si>
  <si>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</si>
  <si>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</si>
  <si>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</si>
  <si>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</si>
  <si>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Diffraction results</t>
  </si>
  <si>
    <t>spot shape</t>
  </si>
  <si>
    <t>fraction indexed</t>
  </si>
  <si>
    <t>Mosaicity</t>
  </si>
  <si>
    <t>final ISa</t>
  </si>
  <si>
    <t>Frames to remove</t>
  </si>
  <si>
    <t>space group</t>
  </si>
  <si>
    <t>unit cell</t>
  </si>
  <si>
    <t>iso resolution</t>
  </si>
  <si>
    <t>iso rmeas</t>
  </si>
  <si>
    <t>iso num uniq reflections</t>
  </si>
  <si>
    <t>iso overall % completeness</t>
  </si>
  <si>
    <t>iso overall redundancy</t>
  </si>
  <si>
    <t>LLG</t>
  </si>
  <si>
    <t>TFZ</t>
  </si>
  <si>
    <t>fit to dens</t>
  </si>
  <si>
    <t>aniso resolution</t>
  </si>
  <si>
    <t>aniso rmeas</t>
  </si>
  <si>
    <t>aniso completeness (spherical)</t>
  </si>
  <si>
    <t>aniso elipsoid A</t>
  </si>
  <si>
    <t>aniso elipsoid B</t>
  </si>
  <si>
    <t>aniso elipsoid C</t>
  </si>
  <si>
    <t>UNKOWN</t>
  </si>
  <si>
    <t>A1</t>
  </si>
  <si>
    <t>SSRL88217 barcode pin</t>
  </si>
  <si>
    <t>Please place barcode pin in this port</t>
  </si>
  <si>
    <t>A2</t>
  </si>
  <si>
    <t>5TEL-KQ-VPS34_Drugsoak_RD-I-53</t>
  </si>
  <si>
    <t>small fan</t>
  </si>
  <si>
    <t>PEG Cust. H8</t>
  </si>
  <si>
    <t>Maria</t>
  </si>
  <si>
    <t>no crystal</t>
  </si>
  <si>
    <t>Maria started</t>
  </si>
  <si>
    <t>A3</t>
  </si>
  <si>
    <t>poor diffraction</t>
  </si>
  <si>
    <t>A4</t>
  </si>
  <si>
    <t>weak diffraction</t>
  </si>
  <si>
    <t>A5</t>
  </si>
  <si>
    <t>small mol. diffraction</t>
  </si>
  <si>
    <t>A6</t>
  </si>
  <si>
    <t>A7</t>
  </si>
  <si>
    <t>Rectangular</t>
  </si>
  <si>
    <t>pHNaOAc H1</t>
  </si>
  <si>
    <t>no diffraction</t>
  </si>
  <si>
    <t>A8</t>
  </si>
  <si>
    <t>bent pin</t>
  </si>
  <si>
    <t>B1</t>
  </si>
  <si>
    <t>5TEL-PP-VPS34_Drugsoak_RD-I-53</t>
  </si>
  <si>
    <t>Rice</t>
  </si>
  <si>
    <t>Index D9</t>
  </si>
  <si>
    <t>Wisdom</t>
  </si>
  <si>
    <t xml:space="preserve"> </t>
  </si>
  <si>
    <t>B2</t>
  </si>
  <si>
    <t>B3</t>
  </si>
  <si>
    <t>B4</t>
  </si>
  <si>
    <t>B5</t>
  </si>
  <si>
    <t>collected, 2.9A</t>
  </si>
  <si>
    <t>fair</t>
  </si>
  <si>
    <t>none</t>
  </si>
  <si>
    <t>P61</t>
  </si>
  <si>
    <t>55.200 55.200 50.069 90.0 90.0 120.0</t>
  </si>
  <si>
    <t>B6</t>
  </si>
  <si>
    <t>Shuttlecock</t>
  </si>
  <si>
    <t>Index E7</t>
  </si>
  <si>
    <t>broken loop, collected??</t>
  </si>
  <si>
    <t>Possibly is actually data from brown-B6</t>
  </si>
  <si>
    <t>B7</t>
  </si>
  <si>
    <t>Seashell</t>
  </si>
  <si>
    <t>Index E8</t>
  </si>
  <si>
    <t>B8</t>
  </si>
  <si>
    <t>highly mosaic, 4 A</t>
  </si>
  <si>
    <t>C1</t>
  </si>
  <si>
    <t>polycrystalline...</t>
  </si>
  <si>
    <t>C2</t>
  </si>
  <si>
    <t>Carrot</t>
  </si>
  <si>
    <t>Index G11</t>
  </si>
  <si>
    <t>weak diffraction, polycrystalline</t>
  </si>
  <si>
    <t>C3</t>
  </si>
  <si>
    <t>C4</t>
  </si>
  <si>
    <t>C5</t>
  </si>
  <si>
    <t>Prasadika started at 7pm</t>
  </si>
  <si>
    <t>C6</t>
  </si>
  <si>
    <t>C7</t>
  </si>
  <si>
    <t>C8</t>
  </si>
  <si>
    <t>some ice,no diffraction</t>
  </si>
  <si>
    <t>D1</t>
  </si>
  <si>
    <t>D2</t>
  </si>
  <si>
    <t>Index G12</t>
  </si>
  <si>
    <t>collected, 3.5A</t>
  </si>
  <si>
    <t>P2</t>
  </si>
  <si>
    <t>96.013 52.699 96.116 90.000 119.913 90.000</t>
  </si>
  <si>
    <t>try in P6</t>
  </si>
  <si>
    <t>P6</t>
  </si>
  <si>
    <t>95.981 95.981 52.657 90.0 90.0 120.0</t>
  </si>
  <si>
    <t>D3</t>
  </si>
  <si>
    <t>no ice, weak diffraction</t>
  </si>
  <si>
    <t>D4</t>
  </si>
  <si>
    <t>D5</t>
  </si>
  <si>
    <t>some ice, collected, 2.5A</t>
  </si>
  <si>
    <t>ok</t>
  </si>
  <si>
    <t>96.220 96.220 52.811 90.0 90.0 120.0</t>
  </si>
  <si>
    <t>D6</t>
  </si>
  <si>
    <t>D7</t>
  </si>
  <si>
    <t>some ice,week diffraction</t>
  </si>
  <si>
    <t>D8</t>
  </si>
  <si>
    <t>PegCustom G6</t>
  </si>
  <si>
    <t>no loop</t>
  </si>
  <si>
    <t>E1</t>
  </si>
  <si>
    <t>E2</t>
  </si>
  <si>
    <t>ice,no diffraction</t>
  </si>
  <si>
    <t>E3</t>
  </si>
  <si>
    <t>E4</t>
  </si>
  <si>
    <t>1T-SR-VPS_Drug Soak_RD-I-86</t>
  </si>
  <si>
    <t>V-Shapped</t>
  </si>
  <si>
    <t>G5 pH-NaOAc-PEG</t>
  </si>
  <si>
    <t>E5</t>
  </si>
  <si>
    <t>E6</t>
  </si>
  <si>
    <t>E7</t>
  </si>
  <si>
    <t>E8</t>
  </si>
  <si>
    <t>F5 pH-NaOAc-PEG</t>
  </si>
  <si>
    <t>F1</t>
  </si>
  <si>
    <t>no crystal, collected??</t>
  </si>
  <si>
    <t>Possibly is actually data from brown-F1</t>
  </si>
  <si>
    <t>F2</t>
  </si>
  <si>
    <t>F3</t>
  </si>
  <si>
    <t>1TEL-UBA (SUMO) :  Di-Ubiquitin</t>
  </si>
  <si>
    <t>Cat-Eye</t>
  </si>
  <si>
    <t>SaltRx D6 3mg/ml</t>
  </si>
  <si>
    <t>F4</t>
  </si>
  <si>
    <t>F5</t>
  </si>
  <si>
    <t>F6</t>
  </si>
  <si>
    <t>F7</t>
  </si>
  <si>
    <t>F8</t>
  </si>
  <si>
    <t>Clumped</t>
  </si>
  <si>
    <t>SaltRx D3 3mg/ml</t>
  </si>
  <si>
    <t>some ice, collected, 2.5A,polycrystalline</t>
  </si>
  <si>
    <t>okay</t>
  </si>
  <si>
    <t>67.149 67.149 60.525 90.0 90.0 120.0</t>
  </si>
  <si>
    <t>G1</t>
  </si>
  <si>
    <t>broken loop</t>
  </si>
  <si>
    <t>G2</t>
  </si>
  <si>
    <t>some ice, collected, 3.8A,polycrystalline</t>
  </si>
  <si>
    <t>67.088 67.088 59.924 90.0 90.0 120.0</t>
  </si>
  <si>
    <t>G3</t>
  </si>
  <si>
    <t>1TEL-UBA (SUMO) : Di-Ubiquitin</t>
  </si>
  <si>
    <t xml:space="preserve">PegCustom D3 3mg/ml </t>
  </si>
  <si>
    <t>G4</t>
  </si>
  <si>
    <t>Bent loop</t>
  </si>
  <si>
    <t>G5</t>
  </si>
  <si>
    <t>Actually VPS34</t>
  </si>
  <si>
    <t>Thin squares</t>
  </si>
  <si>
    <t>Salt Rx D7 7.5mg</t>
  </si>
  <si>
    <t>some ice,collected at 4A</t>
  </si>
  <si>
    <t>P41212</t>
  </si>
  <si>
    <t>113.830 113.830 144.657 90.0 90.0 90.0</t>
  </si>
  <si>
    <t>G6</t>
  </si>
  <si>
    <t>1TEL-UBA-TetraUbiquitin</t>
  </si>
  <si>
    <t>Wisdom started at 11:50 PM</t>
  </si>
  <si>
    <t>G7</t>
  </si>
  <si>
    <t>8.5 A collected</t>
  </si>
  <si>
    <t>P4212</t>
  </si>
  <si>
    <t>114.634 114.634 145.722 90.0 90.0 90.0</t>
  </si>
  <si>
    <t>G7-1</t>
  </si>
  <si>
    <t>Collected</t>
  </si>
  <si>
    <t>G8</t>
  </si>
  <si>
    <t>ice, no diffraction</t>
  </si>
  <si>
    <t>H1</t>
  </si>
  <si>
    <t>H2</t>
  </si>
  <si>
    <t>SUMO-1TEL-TV-CMG2</t>
  </si>
  <si>
    <t>Rectangle</t>
  </si>
  <si>
    <t>SaltRX E7 7.2 mg/mL(WITH mag)</t>
  </si>
  <si>
    <t>H3</t>
  </si>
  <si>
    <t>H4</t>
  </si>
  <si>
    <t>Rod</t>
  </si>
  <si>
    <t>SaltRX E10 7.2 mg/mL(no mag)</t>
  </si>
  <si>
    <t>NA</t>
  </si>
  <si>
    <t>H5</t>
  </si>
  <si>
    <t>H6</t>
  </si>
  <si>
    <t>SaltRX E10 7.2 mg/mL(WITH mag)</t>
  </si>
  <si>
    <t>H7</t>
  </si>
  <si>
    <t>Trapezoid</t>
  </si>
  <si>
    <t>hello</t>
  </si>
  <si>
    <t>wisdom</t>
  </si>
  <si>
    <t>this</t>
  </si>
  <si>
    <t>is</t>
  </si>
  <si>
    <t>AI</t>
  </si>
  <si>
    <t>H8</t>
  </si>
  <si>
    <t>Salt RX H8 18mg/ml</t>
  </si>
  <si>
    <t>I1</t>
  </si>
  <si>
    <t>SaltRX D3 7.2 mg/mL(no mag)</t>
  </si>
  <si>
    <t>I2</t>
  </si>
  <si>
    <t>I3</t>
  </si>
  <si>
    <t>I4</t>
  </si>
  <si>
    <t>I5</t>
  </si>
  <si>
    <t>SaltRX D3 7.2 mg/mL(WITH mag)</t>
  </si>
  <si>
    <t>I6</t>
  </si>
  <si>
    <t>I7</t>
  </si>
  <si>
    <t>I8</t>
  </si>
  <si>
    <t>SaltRX E7 7.2 mg/mL(no mag)</t>
  </si>
  <si>
    <t>J1</t>
  </si>
  <si>
    <t>J2</t>
  </si>
  <si>
    <t>J3</t>
  </si>
  <si>
    <t>J4</t>
  </si>
  <si>
    <t>His-SUMO-2TEL-TV-vWA 10 mg/ml 2/29/24</t>
  </si>
  <si>
    <t>needle fan</t>
  </si>
  <si>
    <t>Peg Custom A6</t>
  </si>
  <si>
    <t>Prasadika</t>
  </si>
  <si>
    <t>ice, no crystal?</t>
  </si>
  <si>
    <t>J5</t>
  </si>
  <si>
    <t>multiple tiny crystals, 14 A, collected</t>
  </si>
  <si>
    <t>Indexing failed</t>
  </si>
  <si>
    <t>J6</t>
  </si>
  <si>
    <t>J7</t>
  </si>
  <si>
    <t>J8</t>
  </si>
  <si>
    <t>K1</t>
  </si>
  <si>
    <t xml:space="preserve">HIS-2TEL-TV-vWA </t>
  </si>
  <si>
    <t>Small Globe</t>
  </si>
  <si>
    <t>Ammonium Sulfate C3 5 mg/ml</t>
  </si>
  <si>
    <t>K2</t>
  </si>
  <si>
    <t>HIS-1 TEL-TV-vWA 10/06/23</t>
  </si>
  <si>
    <t>Hexagon</t>
  </si>
  <si>
    <t>Salt RX Opt B8 20 mg/ml</t>
  </si>
  <si>
    <t>K3</t>
  </si>
  <si>
    <t>2Trig-1TEL-PA-UBA</t>
  </si>
  <si>
    <t>Kite</t>
  </si>
  <si>
    <t>PEG Ion A7: 1 mg/mL protein</t>
  </si>
  <si>
    <t>K4</t>
  </si>
  <si>
    <t>His-1TEL-PA-DARPin:sfGFP (dec.)</t>
  </si>
  <si>
    <t>branched tree, 0.2 loop</t>
  </si>
  <si>
    <t>INDEX G4 subwell 2</t>
  </si>
  <si>
    <t>Jacob</t>
  </si>
  <si>
    <t>K5</t>
  </si>
  <si>
    <t>1TEL-SUMO-UBA</t>
  </si>
  <si>
    <t>tear drop/hexagonal prism</t>
  </si>
  <si>
    <t>SALT RX A5 6mg/ml</t>
  </si>
  <si>
    <t>prasadika</t>
  </si>
  <si>
    <t>K6</t>
  </si>
  <si>
    <t>K7</t>
  </si>
  <si>
    <t>tear drop</t>
  </si>
  <si>
    <t>INDEX C12 6mg/mL</t>
  </si>
  <si>
    <t>good</t>
  </si>
  <si>
    <t>67.098 67.098 58.176 90.0 90.0 120.0</t>
  </si>
  <si>
    <t>K8</t>
  </si>
  <si>
    <t>HIS-1TEL-Short- DARPin</t>
  </si>
  <si>
    <t>Corn Kernal</t>
  </si>
  <si>
    <t>SALTRX G1 9 mg/mL</t>
  </si>
  <si>
    <t>L1</t>
  </si>
  <si>
    <t>L2</t>
  </si>
  <si>
    <t>SALT RX G8 6mg/ml</t>
  </si>
  <si>
    <t>smeary/good</t>
  </si>
  <si>
    <t>1000-1800</t>
  </si>
  <si>
    <t>67.914 67.914 57.582 90.0 90.0 120.0</t>
  </si>
  <si>
    <t>L3</t>
  </si>
  <si>
    <t>all are bad</t>
  </si>
  <si>
    <t>67.391 58.681 67.945 90.000 119.742 90.000</t>
  </si>
  <si>
    <t>L3-2</t>
  </si>
  <si>
    <t>L4</t>
  </si>
  <si>
    <t>0-200, 600-1800</t>
  </si>
  <si>
    <t>67.686 67.686 59.170 90.0 90.0 120.0</t>
  </si>
  <si>
    <t>L5</t>
  </si>
  <si>
    <t>0-500,1100-1800</t>
  </si>
  <si>
    <t>67.858 67.858 59.077 90.0 90.0 120.0</t>
  </si>
  <si>
    <t>L6</t>
  </si>
  <si>
    <t>L7</t>
  </si>
  <si>
    <t>300-1800</t>
  </si>
  <si>
    <t>68.053 68.053 58.396 90.0 90.0 120.0</t>
  </si>
  <si>
    <t>L8</t>
  </si>
  <si>
    <t>0-400, 900-1800</t>
  </si>
  <si>
    <t>67.709 67.709 58.058 90.0 90.0 120.0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</si>
</sst>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</font>
    <font>
      <sz val="10"/>
      <color rgb="FF000000"/>
      <name val="Arial"/>
      <family val="2"/>
    </font>
    <font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49" fontId="1" fillId="0" borderId="2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2" fillId="0" borderId="2" xfId="1" applyFont="1" applyBorder="1" applyAlignment="1">
      <alignment horizontal="center"/>
    </xf>
    <xf numFmtId="164" fontId="1" fillId="0" borderId="2" xfId="1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1" fillId="0" borderId="5" xfId="1" applyNumberFormat="1" applyBorder="1" applyAlignment="1">
      <alignment horizontal="center"/>
    </xf>
    <xf numFmtId="49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5" xfId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14" fontId="3" fillId="6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49" fontId="1" fillId="2" borderId="0" xfId="1" applyNumberFormat="1" applyFill="1" applyAlignment="1">
      <alignment horizontal="center" textRotation="90" wrapText="1"/>
    </xf>
    <xf numFmtId="49" fontId="1" fillId="2" borderId="4" xfId="1" applyNumberForma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 textRotation="90" wrapText="1"/>
    </xf>
    <xf numFmtId="0" fontId="3" fillId="7" borderId="0" xfId="0" applyFont="1" applyFill="1" applyAlignment="1">
      <alignment horizontal="center" textRotation="90" wrapText="1"/>
    </xf>
  </cellXfs>
  <cellStyles count="2">
    <cellStyle name="Normal" xfId="0" builtinId="0"/>
    <cellStyle name="Normal 2" xfId="1" xr:uid="{D83D1A2E-C2AF-48D4-B610-E6D4F2F2B262}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079F-03FA-4F0D-8E81-48507E7C9415}">
  <dimension ref="A1:AH100"/>
  <sheetViews>
    <sheetView tabSelected="1" zoomScaleNormal="100" workbookViewId="0">
      <pane ySplit="1" topLeftCell="A2" activePane="bottomLeft" state="frozen"/>
      <selection pane="bottomLeft" activeCell="M4" sqref="M4"/>
    </sheetView>
  </sheetViews>
  <sheetFormatPr defaultRowHeight="12.75"/>
  <cols>
    <col min="1" max="1" width="9.5703125" style="9" customWidth="1"/>
    <col min="2" max="3" width="3.5703125" style="9" customWidth="1"/>
    <col min="4" max="4" width="38.42578125" style="9" bestFit="1" customWidth="1"/>
    <col min="5" max="5" width="3.5703125" style="9" customWidth="1"/>
    <col min="6" max="6" width="17.5703125" style="9" customWidth="1"/>
    <col min="7" max="7" width="5" style="9" customWidth="1"/>
    <col min="8" max="8" width="17.7109375" style="9" customWidth="1"/>
    <col min="9" max="10" width="2.5703125" style="9" customWidth="1"/>
    <col min="11" max="11" width="9.42578125" style="18" bestFit="1" customWidth="1"/>
    <col min="12" max="12" width="5.28515625" style="9" bestFit="1" customWidth="1"/>
    <col min="13" max="13" width="19.42578125" style="9" customWidth="1"/>
    <col min="14" max="14" width="17.140625" style="9" customWidth="1"/>
    <col min="15" max="15" width="12.140625" style="9" bestFit="1" customWidth="1"/>
    <col min="16" max="16" width="8.5703125" style="9" customWidth="1"/>
    <col min="17" max="17" width="15.7109375" style="9" customWidth="1"/>
    <col min="18" max="18" width="19.42578125" style="9" bestFit="1" customWidth="1"/>
    <col min="19" max="19" width="20.85546875" style="9" customWidth="1"/>
    <col min="20" max="20" width="47" style="9" customWidth="1"/>
    <col min="21" max="21" width="12.28515625" style="29" customWidth="1"/>
    <col min="22" max="22" width="10.7109375" style="9" customWidth="1"/>
    <col min="23" max="23" width="10.140625" style="9" customWidth="1"/>
    <col min="24" max="24" width="8.5703125" style="9" customWidth="1"/>
    <col min="25" max="25" width="12.140625" style="9" customWidth="1"/>
    <col min="26" max="26" width="7.5703125" style="9" customWidth="1"/>
    <col min="27" max="27" width="6.85546875" style="9" customWidth="1"/>
    <col min="28" max="28" width="7.42578125" style="9" customWidth="1"/>
    <col min="29" max="29" width="9.42578125" style="9" customWidth="1"/>
    <col min="30" max="30" width="6.140625" style="9" bestFit="1" customWidth="1"/>
    <col min="31" max="31" width="5.140625" style="9" bestFit="1" customWidth="1"/>
    <col min="32" max="34" width="6.140625" style="9" bestFit="1" customWidth="1"/>
    <col min="35" max="16384" width="9.140625" style="9"/>
  </cols>
  <sheetData>
    <row r="1" spans="1:34" s="33" customFormat="1" ht="57" customHeigh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2" t="s">
        <v>10</v>
      </c>
      <c r="L1" s="31" t="s">
        <v>2</v>
      </c>
      <c r="M1" s="33" t="s">
        <v>11</v>
      </c>
      <c r="N1" s="33" t="s">
        <v>12</v>
      </c>
      <c r="O1" s="33" t="s">
        <v>13</v>
      </c>
      <c r="P1" s="33" t="s">
        <v>14</v>
      </c>
      <c r="Q1" s="33" t="s">
        <v>15</v>
      </c>
      <c r="R1" s="33" t="s">
        <v>16</v>
      </c>
      <c r="S1" s="33" t="s">
        <v>17</v>
      </c>
      <c r="T1" s="33" t="s">
        <v>18</v>
      </c>
      <c r="U1" s="34" t="s">
        <v>19</v>
      </c>
      <c r="V1" s="33" t="s">
        <v>20</v>
      </c>
      <c r="W1" s="33" t="s">
        <v>21</v>
      </c>
      <c r="X1" s="33" t="s">
        <v>22</v>
      </c>
      <c r="Y1" s="33" t="s">
        <v>23</v>
      </c>
      <c r="Z1" s="33" t="s">
        <v>24</v>
      </c>
      <c r="AA1" s="33" t="s">
        <v>25</v>
      </c>
      <c r="AB1" s="33" t="s">
        <v>26</v>
      </c>
      <c r="AC1" s="33" t="s">
        <v>27</v>
      </c>
      <c r="AD1" s="33" t="s">
        <v>28</v>
      </c>
      <c r="AE1" s="33" t="s">
        <v>29</v>
      </c>
      <c r="AF1" s="33" t="s">
        <v>30</v>
      </c>
      <c r="AG1" s="33" t="s">
        <v>31</v>
      </c>
      <c r="AH1" s="33" t="s">
        <v>32</v>
      </c>
    </row>
    <row r="2" spans="1:34">
      <c r="A2" s="11" t="s">
        <v>33</v>
      </c>
      <c r="B2" s="12" t="s">
        <v>34</v>
      </c>
      <c r="C2" s="12" t="s">
        <v>34</v>
      </c>
      <c r="D2" s="12" t="s">
        <v>35</v>
      </c>
      <c r="E2" s="12" t="s">
        <v>34</v>
      </c>
      <c r="F2" s="12" t="s">
        <v>36</v>
      </c>
      <c r="G2" s="13"/>
      <c r="H2" s="13"/>
      <c r="I2" s="13"/>
      <c r="J2" s="13"/>
      <c r="K2" s="17"/>
      <c r="L2" s="12" t="s">
        <v>34</v>
      </c>
    </row>
    <row r="3" spans="1:34">
      <c r="A3" s="1" t="s">
        <v>33</v>
      </c>
      <c r="B3" s="1" t="s">
        <v>37</v>
      </c>
      <c r="C3" s="1" t="s">
        <v>37</v>
      </c>
      <c r="D3" s="9" t="s">
        <v>38</v>
      </c>
      <c r="E3" s="1" t="s">
        <v>37</v>
      </c>
      <c r="F3" s="9" t="s">
        <v>39</v>
      </c>
      <c r="G3" s="2"/>
      <c r="H3" s="9" t="s">
        <v>40</v>
      </c>
      <c r="I3" s="3"/>
      <c r="J3" s="3"/>
      <c r="K3" s="18" t="s">
        <v>41</v>
      </c>
      <c r="L3" s="1" t="s">
        <v>37</v>
      </c>
      <c r="M3" s="9" t="s">
        <v>42</v>
      </c>
      <c r="N3" s="9" t="s">
        <v>43</v>
      </c>
      <c r="R3" s="10"/>
    </row>
    <row r="4" spans="1:34">
      <c r="A4" s="1" t="s">
        <v>33</v>
      </c>
      <c r="B4" s="1" t="s">
        <v>44</v>
      </c>
      <c r="C4" s="1" t="s">
        <v>44</v>
      </c>
      <c r="D4" s="9" t="s">
        <v>38</v>
      </c>
      <c r="E4" s="1" t="s">
        <v>44</v>
      </c>
      <c r="F4" s="9" t="s">
        <v>39</v>
      </c>
      <c r="G4" s="2"/>
      <c r="H4" s="9" t="s">
        <v>40</v>
      </c>
      <c r="I4" s="2"/>
      <c r="J4" s="2"/>
      <c r="K4" s="18" t="s">
        <v>41</v>
      </c>
      <c r="L4" s="1" t="s">
        <v>44</v>
      </c>
      <c r="M4" s="9" t="s">
        <v>45</v>
      </c>
      <c r="R4" s="10"/>
    </row>
    <row r="5" spans="1:34">
      <c r="A5" s="1" t="s">
        <v>33</v>
      </c>
      <c r="B5" s="1" t="s">
        <v>46</v>
      </c>
      <c r="C5" s="1" t="s">
        <v>46</v>
      </c>
      <c r="D5" s="9" t="s">
        <v>38</v>
      </c>
      <c r="E5" s="1" t="s">
        <v>46</v>
      </c>
      <c r="F5" s="9" t="s">
        <v>39</v>
      </c>
      <c r="G5" s="2"/>
      <c r="H5" s="9" t="s">
        <v>40</v>
      </c>
      <c r="I5" s="2"/>
      <c r="J5" s="2"/>
      <c r="K5" s="18" t="s">
        <v>41</v>
      </c>
      <c r="L5" s="1" t="s">
        <v>46</v>
      </c>
      <c r="M5" s="9" t="s">
        <v>47</v>
      </c>
      <c r="R5" s="10"/>
    </row>
    <row r="6" spans="1:34">
      <c r="A6" s="1" t="s">
        <v>33</v>
      </c>
      <c r="B6" s="1" t="s">
        <v>48</v>
      </c>
      <c r="C6" s="1" t="s">
        <v>48</v>
      </c>
      <c r="D6" s="9" t="s">
        <v>38</v>
      </c>
      <c r="E6" s="1" t="s">
        <v>48</v>
      </c>
      <c r="F6" s="9" t="s">
        <v>39</v>
      </c>
      <c r="G6" s="2"/>
      <c r="H6" s="9" t="s">
        <v>40</v>
      </c>
      <c r="I6" s="2"/>
      <c r="J6" s="2"/>
      <c r="K6" s="18" t="s">
        <v>41</v>
      </c>
      <c r="L6" s="1" t="s">
        <v>48</v>
      </c>
      <c r="M6" s="9" t="s">
        <v>49</v>
      </c>
      <c r="R6" s="10"/>
    </row>
    <row r="7" spans="1:34">
      <c r="A7" s="1" t="s">
        <v>33</v>
      </c>
      <c r="B7" s="1" t="s">
        <v>50</v>
      </c>
      <c r="C7" s="1" t="s">
        <v>50</v>
      </c>
      <c r="D7" s="9" t="s">
        <v>38</v>
      </c>
      <c r="E7" s="1" t="s">
        <v>50</v>
      </c>
      <c r="F7" s="9" t="s">
        <v>39</v>
      </c>
      <c r="G7" s="2"/>
      <c r="H7" s="9" t="s">
        <v>40</v>
      </c>
      <c r="I7" s="2"/>
      <c r="J7" s="2"/>
      <c r="K7" s="18" t="s">
        <v>41</v>
      </c>
      <c r="L7" s="1" t="s">
        <v>50</v>
      </c>
      <c r="M7" s="9" t="s">
        <v>49</v>
      </c>
      <c r="R7" s="10"/>
    </row>
    <row r="8" spans="1:34">
      <c r="A8" s="1" t="s">
        <v>33</v>
      </c>
      <c r="B8" s="1" t="s">
        <v>51</v>
      </c>
      <c r="C8" s="1" t="s">
        <v>51</v>
      </c>
      <c r="D8" s="9" t="s">
        <v>38</v>
      </c>
      <c r="E8" s="1" t="s">
        <v>51</v>
      </c>
      <c r="F8" s="9" t="s">
        <v>52</v>
      </c>
      <c r="G8" s="2"/>
      <c r="H8" s="9" t="s">
        <v>53</v>
      </c>
      <c r="I8" s="2"/>
      <c r="J8" s="2"/>
      <c r="K8" s="18" t="s">
        <v>41</v>
      </c>
      <c r="L8" s="1" t="s">
        <v>51</v>
      </c>
      <c r="M8" s="9" t="s">
        <v>54</v>
      </c>
      <c r="R8" s="10"/>
    </row>
    <row r="9" spans="1:34">
      <c r="A9" s="1" t="s">
        <v>33</v>
      </c>
      <c r="B9" s="1" t="s">
        <v>55</v>
      </c>
      <c r="C9" s="1" t="s">
        <v>55</v>
      </c>
      <c r="D9" s="9" t="s">
        <v>38</v>
      </c>
      <c r="E9" s="1" t="s">
        <v>55</v>
      </c>
      <c r="F9" s="9" t="s">
        <v>52</v>
      </c>
      <c r="G9" s="2"/>
      <c r="H9" s="9" t="s">
        <v>53</v>
      </c>
      <c r="I9" s="3"/>
      <c r="J9" s="3"/>
      <c r="K9" s="18" t="s">
        <v>41</v>
      </c>
      <c r="L9" s="1" t="s">
        <v>55</v>
      </c>
      <c r="M9" s="9" t="s">
        <v>56</v>
      </c>
      <c r="R9" s="10"/>
    </row>
    <row r="10" spans="1:34">
      <c r="A10" s="4" t="s">
        <v>33</v>
      </c>
      <c r="B10" s="1" t="s">
        <v>57</v>
      </c>
      <c r="C10" s="1" t="s">
        <v>57</v>
      </c>
      <c r="D10" s="9" t="s">
        <v>58</v>
      </c>
      <c r="E10" s="1" t="s">
        <v>57</v>
      </c>
      <c r="F10" s="9" t="s">
        <v>59</v>
      </c>
      <c r="G10" s="2"/>
      <c r="H10" s="9" t="s">
        <v>60</v>
      </c>
      <c r="I10" s="3"/>
      <c r="J10" s="3"/>
      <c r="K10" s="18" t="s">
        <v>61</v>
      </c>
      <c r="L10" s="1" t="s">
        <v>57</v>
      </c>
      <c r="M10" s="9" t="s">
        <v>54</v>
      </c>
      <c r="R10" s="10"/>
      <c r="S10" s="9" t="s">
        <v>62</v>
      </c>
    </row>
    <row r="11" spans="1:34">
      <c r="A11" s="1" t="s">
        <v>33</v>
      </c>
      <c r="B11" s="1" t="s">
        <v>63</v>
      </c>
      <c r="C11" s="1" t="s">
        <v>63</v>
      </c>
      <c r="D11" s="9" t="s">
        <v>58</v>
      </c>
      <c r="E11" s="1" t="s">
        <v>63</v>
      </c>
      <c r="F11" s="9" t="s">
        <v>59</v>
      </c>
      <c r="G11" s="2"/>
      <c r="H11" s="9" t="s">
        <v>60</v>
      </c>
      <c r="I11" s="3"/>
      <c r="J11" s="3"/>
      <c r="K11" s="18" t="s">
        <v>61</v>
      </c>
      <c r="L11" s="1" t="s">
        <v>63</v>
      </c>
      <c r="M11" s="9" t="s">
        <v>42</v>
      </c>
      <c r="R11" s="10"/>
    </row>
    <row r="12" spans="1:34">
      <c r="A12" s="1" t="s">
        <v>33</v>
      </c>
      <c r="B12" s="1" t="s">
        <v>64</v>
      </c>
      <c r="C12" s="1" t="s">
        <v>64</v>
      </c>
      <c r="D12" s="9" t="s">
        <v>58</v>
      </c>
      <c r="E12" s="1" t="s">
        <v>64</v>
      </c>
      <c r="F12" s="9" t="s">
        <v>59</v>
      </c>
      <c r="G12" s="2"/>
      <c r="H12" s="9" t="s">
        <v>60</v>
      </c>
      <c r="I12" s="3"/>
      <c r="J12" s="3"/>
      <c r="K12" s="18" t="s">
        <v>61</v>
      </c>
      <c r="L12" s="1" t="s">
        <v>64</v>
      </c>
      <c r="M12" s="9" t="s">
        <v>42</v>
      </c>
      <c r="R12" s="10"/>
    </row>
    <row r="13" spans="1:34">
      <c r="A13" s="1" t="s">
        <v>33</v>
      </c>
      <c r="B13" s="1" t="s">
        <v>65</v>
      </c>
      <c r="C13" s="1" t="s">
        <v>65</v>
      </c>
      <c r="D13" s="9" t="s">
        <v>58</v>
      </c>
      <c r="E13" s="1" t="s">
        <v>65</v>
      </c>
      <c r="F13" s="9" t="s">
        <v>59</v>
      </c>
      <c r="G13" s="2"/>
      <c r="H13" s="9" t="s">
        <v>60</v>
      </c>
      <c r="I13" s="3"/>
      <c r="J13" s="3"/>
      <c r="K13" s="18" t="s">
        <v>61</v>
      </c>
      <c r="L13" s="1" t="s">
        <v>65</v>
      </c>
      <c r="M13" s="9" t="s">
        <v>54</v>
      </c>
      <c r="R13" s="10"/>
    </row>
    <row r="14" spans="1:34">
      <c r="A14" s="1" t="s">
        <v>33</v>
      </c>
      <c r="B14" s="1" t="s">
        <v>66</v>
      </c>
      <c r="C14" s="1" t="s">
        <v>66</v>
      </c>
      <c r="D14" s="9" t="s">
        <v>58</v>
      </c>
      <c r="E14" s="1" t="s">
        <v>66</v>
      </c>
      <c r="F14" s="9" t="s">
        <v>59</v>
      </c>
      <c r="G14" s="2"/>
      <c r="H14" s="9" t="s">
        <v>60</v>
      </c>
      <c r="I14" s="3"/>
      <c r="J14" s="3"/>
      <c r="K14" s="18" t="s">
        <v>61</v>
      </c>
      <c r="L14" s="1" t="s">
        <v>66</v>
      </c>
      <c r="M14" s="23" t="s">
        <v>67</v>
      </c>
      <c r="N14" s="9" t="s">
        <v>68</v>
      </c>
      <c r="O14" s="9">
        <v>0.48599999999999999</v>
      </c>
      <c r="P14" s="9">
        <v>1</v>
      </c>
      <c r="Q14" s="9">
        <v>21.53</v>
      </c>
      <c r="R14" s="10" t="s">
        <v>69</v>
      </c>
      <c r="S14" s="9" t="s">
        <v>70</v>
      </c>
      <c r="T14" s="9" t="s">
        <v>71</v>
      </c>
      <c r="U14" s="29">
        <v>2.2170000000000001</v>
      </c>
      <c r="V14" s="9">
        <v>0.16</v>
      </c>
      <c r="W14" s="9">
        <v>4095</v>
      </c>
      <c r="X14" s="9">
        <v>93.6</v>
      </c>
      <c r="Y14" s="9">
        <v>8</v>
      </c>
      <c r="AC14" s="9">
        <v>2.1949999999999998</v>
      </c>
      <c r="AD14" s="9">
        <v>0.17899999999999999</v>
      </c>
      <c r="AE14" s="9">
        <v>82.2</v>
      </c>
      <c r="AF14" s="9">
        <v>2.282</v>
      </c>
      <c r="AG14" s="9">
        <v>2.282</v>
      </c>
      <c r="AH14" s="9">
        <v>2.1030000000000002</v>
      </c>
    </row>
    <row r="15" spans="1:34">
      <c r="A15" s="1" t="s">
        <v>33</v>
      </c>
      <c r="B15" s="1" t="s">
        <v>72</v>
      </c>
      <c r="C15" s="1" t="s">
        <v>72</v>
      </c>
      <c r="D15" s="9" t="s">
        <v>58</v>
      </c>
      <c r="E15" s="1" t="s">
        <v>72</v>
      </c>
      <c r="F15" s="9" t="s">
        <v>73</v>
      </c>
      <c r="G15" s="2"/>
      <c r="H15" s="9" t="s">
        <v>74</v>
      </c>
      <c r="I15" s="3"/>
      <c r="J15" s="3"/>
      <c r="K15" s="18" t="s">
        <v>61</v>
      </c>
      <c r="L15" s="1" t="s">
        <v>72</v>
      </c>
      <c r="M15" s="24" t="s">
        <v>75</v>
      </c>
      <c r="N15" s="27" t="s">
        <v>76</v>
      </c>
      <c r="R15" s="10"/>
    </row>
    <row r="16" spans="1:34">
      <c r="A16" s="1" t="s">
        <v>33</v>
      </c>
      <c r="B16" s="1" t="s">
        <v>77</v>
      </c>
      <c r="C16" s="1" t="s">
        <v>77</v>
      </c>
      <c r="D16" s="9" t="s">
        <v>58</v>
      </c>
      <c r="E16" s="1" t="s">
        <v>77</v>
      </c>
      <c r="F16" s="9" t="s">
        <v>78</v>
      </c>
      <c r="G16" s="2"/>
      <c r="H16" s="9" t="s">
        <v>79</v>
      </c>
      <c r="I16" s="3"/>
      <c r="J16" s="3"/>
      <c r="K16" s="18" t="s">
        <v>61</v>
      </c>
      <c r="L16" s="1" t="s">
        <v>77</v>
      </c>
      <c r="M16" s="9" t="s">
        <v>54</v>
      </c>
      <c r="R16" s="10"/>
    </row>
    <row r="17" spans="1:34">
      <c r="A17" s="1" t="s">
        <v>33</v>
      </c>
      <c r="B17" s="1" t="s">
        <v>80</v>
      </c>
      <c r="C17" s="1" t="s">
        <v>80</v>
      </c>
      <c r="D17" s="9" t="s">
        <v>58</v>
      </c>
      <c r="E17" s="1" t="s">
        <v>80</v>
      </c>
      <c r="F17" s="9" t="s">
        <v>78</v>
      </c>
      <c r="G17" s="2"/>
      <c r="H17" s="9" t="s">
        <v>79</v>
      </c>
      <c r="I17" s="3"/>
      <c r="J17" s="3"/>
      <c r="K17" s="18" t="s">
        <v>61</v>
      </c>
      <c r="L17" s="1" t="s">
        <v>80</v>
      </c>
      <c r="M17" s="9" t="s">
        <v>81</v>
      </c>
      <c r="R17" s="10"/>
    </row>
    <row r="18" spans="1:34">
      <c r="A18" s="4" t="s">
        <v>33</v>
      </c>
      <c r="B18" s="1" t="s">
        <v>82</v>
      </c>
      <c r="C18" s="1" t="s">
        <v>82</v>
      </c>
      <c r="D18" s="9" t="s">
        <v>58</v>
      </c>
      <c r="E18" s="1" t="s">
        <v>82</v>
      </c>
      <c r="F18" s="9" t="s">
        <v>78</v>
      </c>
      <c r="G18" s="2"/>
      <c r="H18" s="9" t="s">
        <v>79</v>
      </c>
      <c r="I18" s="3"/>
      <c r="J18" s="3"/>
      <c r="K18" s="19" t="s">
        <v>61</v>
      </c>
      <c r="L18" s="1" t="s">
        <v>82</v>
      </c>
      <c r="M18" s="9" t="s">
        <v>83</v>
      </c>
      <c r="R18" s="10"/>
    </row>
    <row r="19" spans="1:34">
      <c r="A19" s="1" t="s">
        <v>33</v>
      </c>
      <c r="B19" s="1" t="s">
        <v>84</v>
      </c>
      <c r="C19" s="1" t="s">
        <v>84</v>
      </c>
      <c r="D19" s="9" t="s">
        <v>58</v>
      </c>
      <c r="E19" s="1" t="s">
        <v>84</v>
      </c>
      <c r="F19" s="9" t="s">
        <v>85</v>
      </c>
      <c r="G19" s="2"/>
      <c r="H19" s="9" t="s">
        <v>86</v>
      </c>
      <c r="I19" s="3"/>
      <c r="J19" s="3"/>
      <c r="K19" s="19" t="s">
        <v>61</v>
      </c>
      <c r="L19" s="1" t="s">
        <v>84</v>
      </c>
      <c r="M19" s="9" t="s">
        <v>87</v>
      </c>
    </row>
    <row r="20" spans="1:34">
      <c r="A20" s="1" t="s">
        <v>33</v>
      </c>
      <c r="B20" s="1" t="s">
        <v>88</v>
      </c>
      <c r="C20" s="1" t="s">
        <v>88</v>
      </c>
      <c r="D20" s="9" t="s">
        <v>58</v>
      </c>
      <c r="E20" s="1" t="s">
        <v>88</v>
      </c>
      <c r="F20" s="9" t="s">
        <v>85</v>
      </c>
      <c r="G20" s="2"/>
      <c r="H20" s="9" t="s">
        <v>86</v>
      </c>
      <c r="I20" s="3"/>
      <c r="J20" s="3"/>
      <c r="K20" s="19" t="s">
        <v>61</v>
      </c>
      <c r="L20" s="1" t="s">
        <v>88</v>
      </c>
      <c r="M20" s="9" t="s">
        <v>42</v>
      </c>
    </row>
    <row r="21" spans="1:34">
      <c r="A21" s="1" t="s">
        <v>33</v>
      </c>
      <c r="B21" s="1" t="s">
        <v>89</v>
      </c>
      <c r="C21" s="1" t="s">
        <v>89</v>
      </c>
      <c r="D21" s="9" t="s">
        <v>58</v>
      </c>
      <c r="E21" s="1" t="s">
        <v>89</v>
      </c>
      <c r="F21" s="9" t="s">
        <v>85</v>
      </c>
      <c r="G21" s="2"/>
      <c r="H21" s="9" t="s">
        <v>86</v>
      </c>
      <c r="I21" s="3"/>
      <c r="J21" s="3"/>
      <c r="K21" s="19" t="s">
        <v>61</v>
      </c>
      <c r="L21" s="1" t="s">
        <v>89</v>
      </c>
      <c r="M21" s="9" t="s">
        <v>47</v>
      </c>
    </row>
    <row r="22" spans="1:34">
      <c r="A22" s="1" t="s">
        <v>33</v>
      </c>
      <c r="B22" s="1" t="s">
        <v>90</v>
      </c>
      <c r="C22" s="1" t="s">
        <v>90</v>
      </c>
      <c r="D22" s="9" t="s">
        <v>58</v>
      </c>
      <c r="E22" s="1" t="s">
        <v>90</v>
      </c>
      <c r="F22" s="9" t="s">
        <v>85</v>
      </c>
      <c r="G22" s="2"/>
      <c r="H22" s="9" t="s">
        <v>86</v>
      </c>
      <c r="I22" s="3"/>
      <c r="J22" s="3"/>
      <c r="K22" s="19" t="s">
        <v>61</v>
      </c>
      <c r="L22" s="1" t="s">
        <v>90</v>
      </c>
      <c r="M22" s="9" t="s">
        <v>47</v>
      </c>
      <c r="N22" s="9" t="s">
        <v>91</v>
      </c>
    </row>
    <row r="23" spans="1:34">
      <c r="A23" s="1" t="s">
        <v>33</v>
      </c>
      <c r="B23" s="1" t="s">
        <v>92</v>
      </c>
      <c r="C23" s="1" t="s">
        <v>92</v>
      </c>
      <c r="D23" s="9" t="s">
        <v>58</v>
      </c>
      <c r="E23" s="1" t="s">
        <v>92</v>
      </c>
      <c r="F23" s="9" t="s">
        <v>85</v>
      </c>
      <c r="G23" s="2"/>
      <c r="H23" s="9" t="s">
        <v>86</v>
      </c>
      <c r="I23" s="3"/>
      <c r="J23" s="3"/>
      <c r="K23" s="19" t="s">
        <v>61</v>
      </c>
      <c r="L23" s="1" t="s">
        <v>92</v>
      </c>
      <c r="M23" s="9" t="s">
        <v>47</v>
      </c>
    </row>
    <row r="24" spans="1:34">
      <c r="A24" s="1" t="s">
        <v>33</v>
      </c>
      <c r="B24" s="1" t="s">
        <v>93</v>
      </c>
      <c r="C24" s="1" t="s">
        <v>93</v>
      </c>
      <c r="D24" s="9" t="s">
        <v>58</v>
      </c>
      <c r="E24" s="1" t="s">
        <v>93</v>
      </c>
      <c r="F24" s="9" t="s">
        <v>85</v>
      </c>
      <c r="G24" s="2"/>
      <c r="H24" s="9" t="s">
        <v>86</v>
      </c>
      <c r="I24" s="3"/>
      <c r="J24" s="3"/>
      <c r="K24" s="18" t="s">
        <v>61</v>
      </c>
      <c r="L24" s="1" t="s">
        <v>93</v>
      </c>
      <c r="M24" s="9" t="s">
        <v>54</v>
      </c>
      <c r="R24" s="10"/>
      <c r="T24" s="10"/>
    </row>
    <row r="25" spans="1:34">
      <c r="A25" s="1" t="s">
        <v>33</v>
      </c>
      <c r="B25" s="1" t="s">
        <v>94</v>
      </c>
      <c r="C25" s="1" t="s">
        <v>94</v>
      </c>
      <c r="D25" s="9" t="s">
        <v>58</v>
      </c>
      <c r="E25" s="1" t="s">
        <v>94</v>
      </c>
      <c r="F25" s="9" t="s">
        <v>85</v>
      </c>
      <c r="G25" s="2"/>
      <c r="H25" s="9" t="s">
        <v>86</v>
      </c>
      <c r="I25" s="3"/>
      <c r="J25" s="3"/>
      <c r="K25" s="18" t="s">
        <v>61</v>
      </c>
      <c r="L25" s="1" t="s">
        <v>94</v>
      </c>
      <c r="M25" s="9" t="s">
        <v>95</v>
      </c>
      <c r="R25" s="10"/>
    </row>
    <row r="26" spans="1:34">
      <c r="A26" s="4" t="s">
        <v>33</v>
      </c>
      <c r="B26" s="1" t="s">
        <v>96</v>
      </c>
      <c r="C26" s="1" t="s">
        <v>96</v>
      </c>
      <c r="D26" s="9" t="s">
        <v>58</v>
      </c>
      <c r="E26" s="1" t="s">
        <v>96</v>
      </c>
      <c r="F26" s="9" t="s">
        <v>85</v>
      </c>
      <c r="G26" s="2"/>
      <c r="H26" s="9" t="s">
        <v>86</v>
      </c>
      <c r="I26" s="3"/>
      <c r="J26" s="3"/>
      <c r="K26" s="18" t="s">
        <v>61</v>
      </c>
      <c r="L26" s="1" t="s">
        <v>96</v>
      </c>
      <c r="M26" s="9" t="s">
        <v>54</v>
      </c>
      <c r="R26" s="10"/>
    </row>
    <row r="27" spans="1:34">
      <c r="A27" s="1" t="s">
        <v>33</v>
      </c>
      <c r="B27" s="1" t="s">
        <v>97</v>
      </c>
      <c r="C27" s="1" t="s">
        <v>97</v>
      </c>
      <c r="D27" s="9" t="s">
        <v>58</v>
      </c>
      <c r="E27" s="1" t="s">
        <v>97</v>
      </c>
      <c r="F27" s="9" t="s">
        <v>85</v>
      </c>
      <c r="G27" s="2"/>
      <c r="H27" s="9" t="s">
        <v>98</v>
      </c>
      <c r="I27" s="3"/>
      <c r="J27" s="3"/>
      <c r="K27" s="18" t="s">
        <v>61</v>
      </c>
      <c r="L27" s="1" t="s">
        <v>97</v>
      </c>
      <c r="M27" s="24" t="s">
        <v>99</v>
      </c>
      <c r="N27" s="9" t="s">
        <v>68</v>
      </c>
      <c r="O27" s="9">
        <v>0.49</v>
      </c>
      <c r="P27" s="9">
        <v>1.5</v>
      </c>
      <c r="Q27" s="9">
        <v>26.8</v>
      </c>
      <c r="R27" s="10" t="s">
        <v>69</v>
      </c>
      <c r="S27" s="9" t="s">
        <v>100</v>
      </c>
      <c r="T27" s="9" t="s">
        <v>101</v>
      </c>
      <c r="U27" s="29">
        <v>3.5569999999999999</v>
      </c>
      <c r="V27" s="9">
        <v>0.25</v>
      </c>
      <c r="W27" s="9">
        <v>9600</v>
      </c>
      <c r="X27" s="9">
        <v>93.4</v>
      </c>
      <c r="Y27" s="9">
        <v>3.5</v>
      </c>
      <c r="AC27" s="9">
        <v>3.0030000000000001</v>
      </c>
      <c r="AD27" s="9">
        <v>0.21299999999999999</v>
      </c>
      <c r="AE27" s="9">
        <v>55.6</v>
      </c>
      <c r="AF27" s="9">
        <v>2.8919999999999999</v>
      </c>
      <c r="AG27" s="9">
        <v>3.5539999999999998</v>
      </c>
      <c r="AH27" s="9">
        <v>3.968</v>
      </c>
    </row>
    <row r="28" spans="1:34">
      <c r="A28" s="1"/>
      <c r="B28" s="1"/>
      <c r="C28" s="1"/>
      <c r="E28" s="1"/>
      <c r="G28" s="2"/>
      <c r="I28" s="3"/>
      <c r="J28" s="3"/>
      <c r="L28" s="1"/>
      <c r="M28" s="24" t="s">
        <v>102</v>
      </c>
      <c r="N28" s="9" t="s">
        <v>68</v>
      </c>
      <c r="O28" s="9">
        <v>0.52</v>
      </c>
      <c r="P28" s="9">
        <v>1.5</v>
      </c>
      <c r="Q28" s="9">
        <v>17.03</v>
      </c>
      <c r="R28" s="10" t="s">
        <v>69</v>
      </c>
      <c r="S28" s="9" t="s">
        <v>103</v>
      </c>
      <c r="T28" s="9" t="s">
        <v>104</v>
      </c>
      <c r="U28" s="29">
        <v>2.9249999999999998</v>
      </c>
      <c r="V28" s="9">
        <v>0.32800000000000001</v>
      </c>
      <c r="W28" s="9">
        <v>5783</v>
      </c>
      <c r="X28" s="9">
        <v>94.7</v>
      </c>
      <c r="Y28" s="9">
        <v>6.7</v>
      </c>
      <c r="AC28" s="9">
        <v>2.927</v>
      </c>
      <c r="AD28" s="9">
        <v>0.26500000000000001</v>
      </c>
      <c r="AE28" s="9">
        <v>76.7</v>
      </c>
      <c r="AF28" s="9">
        <v>2.9289999999999998</v>
      </c>
      <c r="AG28" s="9">
        <v>2.9289999999999998</v>
      </c>
      <c r="AH28" s="9">
        <v>3.2669999999999999</v>
      </c>
    </row>
    <row r="29" spans="1:34">
      <c r="A29" s="1" t="s">
        <v>33</v>
      </c>
      <c r="B29" s="1" t="s">
        <v>105</v>
      </c>
      <c r="C29" s="1" t="s">
        <v>105</v>
      </c>
      <c r="D29" s="9" t="s">
        <v>58</v>
      </c>
      <c r="E29" s="1" t="s">
        <v>105</v>
      </c>
      <c r="F29" s="9" t="s">
        <v>85</v>
      </c>
      <c r="G29" s="2"/>
      <c r="H29" s="9" t="s">
        <v>98</v>
      </c>
      <c r="I29" s="3"/>
      <c r="J29" s="3"/>
      <c r="K29" s="18" t="s">
        <v>61</v>
      </c>
      <c r="L29" s="1" t="s">
        <v>105</v>
      </c>
      <c r="M29" s="9" t="s">
        <v>106</v>
      </c>
      <c r="R29" s="10"/>
    </row>
    <row r="30" spans="1:34">
      <c r="A30" s="1" t="s">
        <v>33</v>
      </c>
      <c r="B30" s="1" t="s">
        <v>107</v>
      </c>
      <c r="C30" s="1" t="s">
        <v>107</v>
      </c>
      <c r="D30" s="9" t="s">
        <v>58</v>
      </c>
      <c r="E30" s="1" t="s">
        <v>107</v>
      </c>
      <c r="F30" s="9" t="s">
        <v>85</v>
      </c>
      <c r="G30" s="2"/>
      <c r="H30" s="9" t="s">
        <v>98</v>
      </c>
      <c r="I30" s="3"/>
      <c r="J30" s="3"/>
      <c r="K30" s="18" t="s">
        <v>61</v>
      </c>
      <c r="L30" s="1" t="s">
        <v>107</v>
      </c>
      <c r="M30" s="9" t="s">
        <v>106</v>
      </c>
      <c r="R30" s="10"/>
    </row>
    <row r="31" spans="1:34">
      <c r="A31" s="1" t="s">
        <v>33</v>
      </c>
      <c r="B31" s="1" t="s">
        <v>108</v>
      </c>
      <c r="C31" s="1" t="s">
        <v>108</v>
      </c>
      <c r="D31" s="9" t="s">
        <v>58</v>
      </c>
      <c r="E31" s="1" t="s">
        <v>108</v>
      </c>
      <c r="F31" s="9" t="s">
        <v>85</v>
      </c>
      <c r="G31" s="2"/>
      <c r="H31" s="9" t="s">
        <v>98</v>
      </c>
      <c r="I31" s="3"/>
      <c r="J31" s="3"/>
      <c r="K31" s="18" t="s">
        <v>61</v>
      </c>
      <c r="L31" s="1" t="s">
        <v>108</v>
      </c>
      <c r="M31" s="24" t="s">
        <v>109</v>
      </c>
      <c r="N31" s="9" t="s">
        <v>110</v>
      </c>
      <c r="O31" s="9">
        <v>0.57999999999999996</v>
      </c>
      <c r="P31" s="9">
        <v>0.57999999999999996</v>
      </c>
      <c r="Q31" s="9">
        <v>18.5</v>
      </c>
      <c r="R31" s="10" t="s">
        <v>69</v>
      </c>
      <c r="S31" s="9" t="s">
        <v>70</v>
      </c>
      <c r="T31" s="9" t="s">
        <v>111</v>
      </c>
      <c r="U31" s="29">
        <v>2.5329999999999999</v>
      </c>
      <c r="V31" s="9">
        <v>0.188</v>
      </c>
      <c r="W31" s="9">
        <v>8885</v>
      </c>
      <c r="X31" s="9">
        <v>94.4</v>
      </c>
      <c r="Y31" s="9">
        <v>10.4</v>
      </c>
      <c r="AC31" s="9">
        <v>2.5409999999999999</v>
      </c>
      <c r="AD31" s="9">
        <v>0.16400000000000001</v>
      </c>
      <c r="AE31" s="9">
        <v>82.1</v>
      </c>
      <c r="AF31" s="9">
        <v>2.5680000000000001</v>
      </c>
      <c r="AG31" s="9">
        <v>2.5680000000000001</v>
      </c>
      <c r="AH31" s="9">
        <v>2.65</v>
      </c>
    </row>
    <row r="32" spans="1:34">
      <c r="A32" s="1" t="s">
        <v>33</v>
      </c>
      <c r="B32" s="1" t="s">
        <v>112</v>
      </c>
      <c r="C32" s="1" t="s">
        <v>112</v>
      </c>
      <c r="D32" s="9" t="s">
        <v>58</v>
      </c>
      <c r="E32" s="1" t="s">
        <v>112</v>
      </c>
      <c r="F32" s="9" t="s">
        <v>85</v>
      </c>
      <c r="G32" s="2"/>
      <c r="H32" s="9" t="s">
        <v>98</v>
      </c>
      <c r="I32" s="3"/>
      <c r="J32" s="3"/>
      <c r="K32" s="18" t="s">
        <v>61</v>
      </c>
      <c r="L32" s="1" t="s">
        <v>112</v>
      </c>
      <c r="M32" s="9" t="s">
        <v>95</v>
      </c>
      <c r="R32" s="10"/>
    </row>
    <row r="33" spans="1:18">
      <c r="A33" s="1" t="s">
        <v>33</v>
      </c>
      <c r="B33" s="1" t="s">
        <v>113</v>
      </c>
      <c r="C33" s="1" t="s">
        <v>113</v>
      </c>
      <c r="D33" s="9" t="s">
        <v>58</v>
      </c>
      <c r="E33" s="1" t="s">
        <v>113</v>
      </c>
      <c r="F33" s="9" t="s">
        <v>85</v>
      </c>
      <c r="G33" s="2"/>
      <c r="H33" s="9" t="s">
        <v>98</v>
      </c>
      <c r="I33" s="3"/>
      <c r="J33" s="3"/>
      <c r="K33" s="18" t="s">
        <v>61</v>
      </c>
      <c r="L33" s="1" t="s">
        <v>113</v>
      </c>
      <c r="M33" s="9" t="s">
        <v>114</v>
      </c>
      <c r="R33" s="10"/>
    </row>
    <row r="34" spans="1:18">
      <c r="A34" s="1" t="s">
        <v>33</v>
      </c>
      <c r="B34" s="1" t="s">
        <v>115</v>
      </c>
      <c r="C34" s="1" t="s">
        <v>115</v>
      </c>
      <c r="D34" s="9" t="s">
        <v>38</v>
      </c>
      <c r="E34" s="1" t="s">
        <v>115</v>
      </c>
      <c r="F34" s="9" t="s">
        <v>39</v>
      </c>
      <c r="G34" s="2"/>
      <c r="H34" s="9" t="s">
        <v>116</v>
      </c>
      <c r="I34" s="3"/>
      <c r="J34" s="3"/>
      <c r="K34" s="18" t="s">
        <v>61</v>
      </c>
      <c r="L34" s="1" t="s">
        <v>115</v>
      </c>
      <c r="M34" s="9" t="s">
        <v>117</v>
      </c>
      <c r="R34" s="10"/>
    </row>
    <row r="35" spans="1:18">
      <c r="A35" s="4" t="s">
        <v>33</v>
      </c>
      <c r="B35" s="1" t="s">
        <v>118</v>
      </c>
      <c r="C35" s="1" t="s">
        <v>118</v>
      </c>
      <c r="D35" s="9" t="s">
        <v>38</v>
      </c>
      <c r="E35" s="1" t="s">
        <v>118</v>
      </c>
      <c r="F35" s="9" t="s">
        <v>39</v>
      </c>
      <c r="G35" s="2"/>
      <c r="H35" s="9" t="s">
        <v>116</v>
      </c>
      <c r="I35" s="3"/>
      <c r="J35" s="3"/>
      <c r="K35" s="18" t="s">
        <v>61</v>
      </c>
      <c r="L35" s="1" t="s">
        <v>118</v>
      </c>
      <c r="M35" s="9" t="s">
        <v>42</v>
      </c>
      <c r="R35" s="10"/>
    </row>
    <row r="36" spans="1:18">
      <c r="A36" s="1" t="s">
        <v>33</v>
      </c>
      <c r="B36" s="1" t="s">
        <v>119</v>
      </c>
      <c r="C36" s="1" t="s">
        <v>119</v>
      </c>
      <c r="D36" s="9" t="s">
        <v>38</v>
      </c>
      <c r="E36" s="1" t="s">
        <v>119</v>
      </c>
      <c r="F36" s="9" t="s">
        <v>39</v>
      </c>
      <c r="G36" s="2"/>
      <c r="H36" s="9" t="s">
        <v>116</v>
      </c>
      <c r="I36" s="3"/>
      <c r="J36" s="3"/>
      <c r="K36" s="18" t="s">
        <v>61</v>
      </c>
      <c r="L36" s="1" t="s">
        <v>119</v>
      </c>
      <c r="M36" s="9" t="s">
        <v>120</v>
      </c>
      <c r="R36" s="10"/>
    </row>
    <row r="37" spans="1:18">
      <c r="A37" s="1" t="s">
        <v>33</v>
      </c>
      <c r="B37" s="1" t="s">
        <v>121</v>
      </c>
      <c r="C37" s="1" t="s">
        <v>121</v>
      </c>
      <c r="D37" s="9" t="s">
        <v>38</v>
      </c>
      <c r="E37" s="1" t="s">
        <v>121</v>
      </c>
      <c r="F37" s="9" t="s">
        <v>39</v>
      </c>
      <c r="G37" s="2"/>
      <c r="H37" s="9" t="s">
        <v>116</v>
      </c>
      <c r="I37" s="3"/>
      <c r="J37" s="3"/>
      <c r="K37" s="18" t="s">
        <v>61</v>
      </c>
      <c r="L37" s="1" t="s">
        <v>121</v>
      </c>
      <c r="M37" s="9" t="s">
        <v>42</v>
      </c>
      <c r="R37" s="10"/>
    </row>
    <row r="38" spans="1:18">
      <c r="A38" s="1" t="s">
        <v>33</v>
      </c>
      <c r="B38" s="1" t="s">
        <v>122</v>
      </c>
      <c r="C38" s="1" t="s">
        <v>122</v>
      </c>
      <c r="D38" s="9" t="s">
        <v>123</v>
      </c>
      <c r="E38" s="1" t="s">
        <v>122</v>
      </c>
      <c r="F38" s="9" t="s">
        <v>124</v>
      </c>
      <c r="G38" s="2"/>
      <c r="H38" s="9" t="s">
        <v>125</v>
      </c>
      <c r="I38" s="3"/>
      <c r="J38" s="3"/>
      <c r="K38" s="18" t="s">
        <v>61</v>
      </c>
      <c r="L38" s="1" t="s">
        <v>122</v>
      </c>
      <c r="M38" s="9" t="s">
        <v>120</v>
      </c>
      <c r="R38" s="10"/>
    </row>
    <row r="39" spans="1:18">
      <c r="A39" s="1" t="s">
        <v>33</v>
      </c>
      <c r="B39" s="1" t="s">
        <v>126</v>
      </c>
      <c r="C39" s="1" t="s">
        <v>126</v>
      </c>
      <c r="D39" s="9" t="s">
        <v>123</v>
      </c>
      <c r="E39" s="1" t="s">
        <v>126</v>
      </c>
      <c r="F39" s="9" t="s">
        <v>124</v>
      </c>
      <c r="G39" s="2"/>
      <c r="H39" s="9" t="s">
        <v>125</v>
      </c>
      <c r="I39" s="3"/>
      <c r="J39" s="3"/>
      <c r="K39" s="18" t="s">
        <v>61</v>
      </c>
      <c r="L39" s="1" t="s">
        <v>126</v>
      </c>
      <c r="M39" s="9" t="s">
        <v>95</v>
      </c>
      <c r="R39" s="10"/>
    </row>
    <row r="40" spans="1:18">
      <c r="A40" s="1" t="s">
        <v>33</v>
      </c>
      <c r="B40" s="1" t="s">
        <v>127</v>
      </c>
      <c r="C40" s="1" t="s">
        <v>127</v>
      </c>
      <c r="D40" s="9" t="s">
        <v>123</v>
      </c>
      <c r="E40" s="1" t="s">
        <v>127</v>
      </c>
      <c r="F40" s="9" t="s">
        <v>124</v>
      </c>
      <c r="G40" s="2"/>
      <c r="H40" s="9" t="s">
        <v>125</v>
      </c>
      <c r="I40" s="3"/>
      <c r="J40" s="3"/>
      <c r="K40" s="18" t="s">
        <v>61</v>
      </c>
      <c r="L40" s="1" t="s">
        <v>127</v>
      </c>
      <c r="M40" s="9" t="s">
        <v>95</v>
      </c>
      <c r="R40" s="10"/>
    </row>
    <row r="41" spans="1:18">
      <c r="A41" s="1" t="s">
        <v>33</v>
      </c>
      <c r="B41" s="1" t="s">
        <v>128</v>
      </c>
      <c r="C41" s="1" t="s">
        <v>128</v>
      </c>
      <c r="D41" s="9" t="s">
        <v>123</v>
      </c>
      <c r="E41" s="1" t="s">
        <v>128</v>
      </c>
      <c r="F41" s="9" t="s">
        <v>124</v>
      </c>
      <c r="G41" s="2"/>
      <c r="H41" s="9" t="s">
        <v>125</v>
      </c>
      <c r="I41" s="3"/>
      <c r="J41" s="3"/>
      <c r="K41" s="18" t="s">
        <v>61</v>
      </c>
      <c r="L41" s="1" t="s">
        <v>128</v>
      </c>
      <c r="M41" s="9" t="s">
        <v>117</v>
      </c>
      <c r="R41" s="10"/>
    </row>
    <row r="42" spans="1:18">
      <c r="A42" s="1" t="s">
        <v>33</v>
      </c>
      <c r="B42" s="1" t="s">
        <v>129</v>
      </c>
      <c r="C42" s="1" t="s">
        <v>129</v>
      </c>
      <c r="D42" s="9" t="s">
        <v>123</v>
      </c>
      <c r="E42" s="1" t="s">
        <v>129</v>
      </c>
      <c r="F42" s="9" t="s">
        <v>124</v>
      </c>
      <c r="G42" s="2"/>
      <c r="H42" s="9" t="s">
        <v>130</v>
      </c>
      <c r="I42" s="3"/>
      <c r="J42" s="3"/>
      <c r="K42" s="18" t="s">
        <v>61</v>
      </c>
      <c r="L42" s="1" t="s">
        <v>129</v>
      </c>
      <c r="M42" s="9" t="s">
        <v>42</v>
      </c>
      <c r="R42" s="10"/>
    </row>
    <row r="43" spans="1:18">
      <c r="A43" s="4" t="s">
        <v>33</v>
      </c>
      <c r="B43" s="1" t="s">
        <v>131</v>
      </c>
      <c r="C43" s="1" t="s">
        <v>131</v>
      </c>
      <c r="D43" s="9" t="s">
        <v>123</v>
      </c>
      <c r="E43" s="1" t="s">
        <v>131</v>
      </c>
      <c r="F43" s="9" t="s">
        <v>124</v>
      </c>
      <c r="G43" s="2"/>
      <c r="H43" s="9" t="s">
        <v>130</v>
      </c>
      <c r="I43" s="2"/>
      <c r="J43" s="2"/>
      <c r="K43" s="18" t="s">
        <v>61</v>
      </c>
      <c r="L43" s="1" t="s">
        <v>131</v>
      </c>
      <c r="M43" s="24" t="s">
        <v>132</v>
      </c>
      <c r="N43" s="27" t="s">
        <v>133</v>
      </c>
      <c r="R43" s="10"/>
    </row>
    <row r="44" spans="1:18">
      <c r="A44" s="1" t="s">
        <v>33</v>
      </c>
      <c r="B44" s="1" t="s">
        <v>134</v>
      </c>
      <c r="C44" s="1" t="s">
        <v>134</v>
      </c>
      <c r="D44" s="9" t="s">
        <v>123</v>
      </c>
      <c r="E44" s="1" t="s">
        <v>134</v>
      </c>
      <c r="F44" s="9" t="s">
        <v>124</v>
      </c>
      <c r="G44" s="2"/>
      <c r="H44" s="9" t="s">
        <v>130</v>
      </c>
      <c r="I44" s="3"/>
      <c r="J44" s="3"/>
      <c r="K44" s="18" t="s">
        <v>61</v>
      </c>
      <c r="L44" s="1" t="s">
        <v>134</v>
      </c>
      <c r="M44" s="9" t="s">
        <v>54</v>
      </c>
      <c r="R44" s="10"/>
    </row>
    <row r="45" spans="1:18">
      <c r="A45" s="1" t="s">
        <v>33</v>
      </c>
      <c r="B45" s="1" t="s">
        <v>135</v>
      </c>
      <c r="C45" s="1" t="s">
        <v>135</v>
      </c>
      <c r="D45" s="9" t="s">
        <v>136</v>
      </c>
      <c r="E45" s="1" t="s">
        <v>135</v>
      </c>
      <c r="F45" s="9" t="s">
        <v>137</v>
      </c>
      <c r="G45" s="2"/>
      <c r="H45" s="9" t="s">
        <v>138</v>
      </c>
      <c r="I45" s="2"/>
      <c r="J45" s="2"/>
      <c r="K45" s="18" t="s">
        <v>61</v>
      </c>
      <c r="L45" s="1" t="s">
        <v>135</v>
      </c>
      <c r="M45" s="9" t="s">
        <v>42</v>
      </c>
      <c r="R45" s="10"/>
    </row>
    <row r="46" spans="1:18">
      <c r="A46" s="1" t="s">
        <v>33</v>
      </c>
      <c r="B46" s="1" t="s">
        <v>139</v>
      </c>
      <c r="C46" s="1" t="s">
        <v>139</v>
      </c>
      <c r="D46" s="9" t="s">
        <v>136</v>
      </c>
      <c r="E46" s="1" t="s">
        <v>139</v>
      </c>
      <c r="F46" s="9" t="s">
        <v>137</v>
      </c>
      <c r="G46" s="2"/>
      <c r="H46" s="9" t="s">
        <v>138</v>
      </c>
      <c r="I46" s="3"/>
      <c r="J46" s="3"/>
      <c r="K46" s="18" t="s">
        <v>61</v>
      </c>
      <c r="L46" s="1" t="s">
        <v>139</v>
      </c>
      <c r="M46" s="9" t="s">
        <v>54</v>
      </c>
      <c r="R46" s="10"/>
    </row>
    <row r="47" spans="1:18">
      <c r="A47" s="1" t="s">
        <v>33</v>
      </c>
      <c r="B47" s="1" t="s">
        <v>140</v>
      </c>
      <c r="C47" s="1" t="s">
        <v>140</v>
      </c>
      <c r="D47" s="9" t="s">
        <v>136</v>
      </c>
      <c r="E47" s="1" t="s">
        <v>140</v>
      </c>
      <c r="F47" s="9" t="s">
        <v>137</v>
      </c>
      <c r="G47" s="2"/>
      <c r="H47" s="9" t="s">
        <v>138</v>
      </c>
      <c r="I47" s="3"/>
      <c r="J47" s="3"/>
      <c r="K47" s="18" t="s">
        <v>61</v>
      </c>
      <c r="L47" s="1" t="s">
        <v>140</v>
      </c>
      <c r="M47" s="9" t="s">
        <v>120</v>
      </c>
      <c r="R47" s="10"/>
    </row>
    <row r="48" spans="1:18">
      <c r="A48" s="1" t="s">
        <v>33</v>
      </c>
      <c r="B48" s="1" t="s">
        <v>141</v>
      </c>
      <c r="C48" s="1" t="s">
        <v>141</v>
      </c>
      <c r="D48" s="9" t="s">
        <v>136</v>
      </c>
      <c r="E48" s="1" t="s">
        <v>141</v>
      </c>
      <c r="F48" s="9" t="s">
        <v>137</v>
      </c>
      <c r="G48" s="2"/>
      <c r="H48" s="9" t="s">
        <v>138</v>
      </c>
      <c r="I48" s="3"/>
      <c r="J48" s="3"/>
      <c r="K48" s="18" t="s">
        <v>61</v>
      </c>
      <c r="L48" s="1" t="s">
        <v>141</v>
      </c>
      <c r="M48" s="9" t="s">
        <v>120</v>
      </c>
      <c r="R48" s="10"/>
    </row>
    <row r="49" spans="1:34">
      <c r="A49" s="1" t="s">
        <v>33</v>
      </c>
      <c r="B49" s="1" t="s">
        <v>142</v>
      </c>
      <c r="C49" s="1" t="s">
        <v>142</v>
      </c>
      <c r="D49" s="9" t="s">
        <v>136</v>
      </c>
      <c r="E49" s="1" t="s">
        <v>142</v>
      </c>
      <c r="F49" s="9" t="s">
        <v>137</v>
      </c>
      <c r="G49" s="2"/>
      <c r="H49" s="9" t="s">
        <v>138</v>
      </c>
      <c r="I49" s="3"/>
      <c r="J49" s="3"/>
      <c r="K49" s="18" t="s">
        <v>61</v>
      </c>
      <c r="L49" s="1" t="s">
        <v>142</v>
      </c>
      <c r="M49" s="9" t="s">
        <v>95</v>
      </c>
      <c r="R49" s="10"/>
    </row>
    <row r="50" spans="1:34">
      <c r="A50" s="1" t="s">
        <v>33</v>
      </c>
      <c r="B50" s="1" t="s">
        <v>143</v>
      </c>
      <c r="C50" s="1" t="s">
        <v>143</v>
      </c>
      <c r="D50" s="9" t="s">
        <v>136</v>
      </c>
      <c r="E50" s="1" t="s">
        <v>143</v>
      </c>
      <c r="F50" s="9" t="s">
        <v>144</v>
      </c>
      <c r="G50" s="2"/>
      <c r="H50" s="9" t="s">
        <v>145</v>
      </c>
      <c r="I50" s="3"/>
      <c r="J50" s="3"/>
      <c r="K50" s="18" t="s">
        <v>61</v>
      </c>
      <c r="L50" s="1" t="s">
        <v>143</v>
      </c>
      <c r="M50" s="24" t="s">
        <v>146</v>
      </c>
      <c r="N50" s="9" t="s">
        <v>147</v>
      </c>
      <c r="O50" s="9">
        <v>0.84399999999999997</v>
      </c>
      <c r="P50" s="9">
        <v>0.4</v>
      </c>
      <c r="Q50" s="9">
        <v>20.56</v>
      </c>
      <c r="R50" s="10" t="s">
        <v>69</v>
      </c>
      <c r="S50" s="9" t="s">
        <v>70</v>
      </c>
      <c r="T50" s="9" t="s">
        <v>148</v>
      </c>
      <c r="U50" s="29">
        <v>1.6160000000000001</v>
      </c>
      <c r="V50" s="9">
        <v>6.7000000000000004E-2</v>
      </c>
      <c r="W50" s="9">
        <v>17218</v>
      </c>
      <c r="X50" s="9">
        <v>86.4</v>
      </c>
      <c r="Y50" s="9">
        <v>7.9</v>
      </c>
      <c r="AC50" s="9">
        <v>1.667</v>
      </c>
      <c r="AD50" s="9">
        <v>6.5000000000000002E-2</v>
      </c>
      <c r="AE50" s="9">
        <v>77.8</v>
      </c>
      <c r="AF50" s="9">
        <v>1.6459999999999999</v>
      </c>
      <c r="AG50" s="9">
        <v>1.6459999999999999</v>
      </c>
      <c r="AH50" s="9">
        <v>1.9450000000000001</v>
      </c>
    </row>
    <row r="51" spans="1:34">
      <c r="A51" s="4" t="s">
        <v>33</v>
      </c>
      <c r="B51" s="1" t="s">
        <v>149</v>
      </c>
      <c r="C51" s="1" t="s">
        <v>149</v>
      </c>
      <c r="D51" s="9" t="s">
        <v>136</v>
      </c>
      <c r="E51" s="1" t="s">
        <v>149</v>
      </c>
      <c r="F51" s="9" t="s">
        <v>144</v>
      </c>
      <c r="G51" s="2"/>
      <c r="H51" s="9" t="s">
        <v>145</v>
      </c>
      <c r="I51" s="3"/>
      <c r="J51" s="3"/>
      <c r="K51" s="18" t="s">
        <v>61</v>
      </c>
      <c r="L51" s="1" t="s">
        <v>149</v>
      </c>
      <c r="M51" s="9" t="s">
        <v>150</v>
      </c>
      <c r="R51" s="10"/>
    </row>
    <row r="52" spans="1:34">
      <c r="A52" s="1" t="s">
        <v>33</v>
      </c>
      <c r="B52" s="1" t="s">
        <v>151</v>
      </c>
      <c r="C52" s="1" t="s">
        <v>151</v>
      </c>
      <c r="D52" s="9" t="s">
        <v>136</v>
      </c>
      <c r="E52" s="1" t="s">
        <v>151</v>
      </c>
      <c r="F52" s="9" t="s">
        <v>144</v>
      </c>
      <c r="G52" s="2"/>
      <c r="H52" s="9" t="s">
        <v>145</v>
      </c>
      <c r="I52" s="3"/>
      <c r="J52" s="3"/>
      <c r="K52" s="18" t="s">
        <v>61</v>
      </c>
      <c r="L52" s="1" t="s">
        <v>151</v>
      </c>
      <c r="M52" s="24" t="s">
        <v>152</v>
      </c>
      <c r="N52" s="9" t="s">
        <v>147</v>
      </c>
      <c r="O52" s="9">
        <v>0.83</v>
      </c>
      <c r="P52" s="9">
        <v>0.24</v>
      </c>
      <c r="Q52" s="9">
        <v>24.84</v>
      </c>
      <c r="R52" s="10" t="s">
        <v>69</v>
      </c>
      <c r="S52" s="9" t="s">
        <v>70</v>
      </c>
      <c r="T52" s="9" t="s">
        <v>153</v>
      </c>
      <c r="U52" s="29">
        <v>1.7190000000000001</v>
      </c>
      <c r="V52" s="9">
        <v>6.2E-2</v>
      </c>
      <c r="W52" s="9">
        <v>15537</v>
      </c>
      <c r="X52" s="9">
        <v>94.8</v>
      </c>
      <c r="Y52" s="9">
        <v>8.5</v>
      </c>
      <c r="AC52" s="9">
        <v>1.734</v>
      </c>
      <c r="AD52" s="9">
        <v>0.06</v>
      </c>
      <c r="AE52" s="9">
        <v>76.099999999999994</v>
      </c>
      <c r="AF52" s="9">
        <v>1.72</v>
      </c>
      <c r="AG52" s="9">
        <v>1.72</v>
      </c>
      <c r="AH52" s="9">
        <v>2.0979999999999999</v>
      </c>
    </row>
    <row r="53" spans="1:34">
      <c r="A53" s="1" t="s">
        <v>33</v>
      </c>
      <c r="B53" s="1" t="s">
        <v>154</v>
      </c>
      <c r="C53" s="1" t="s">
        <v>154</v>
      </c>
      <c r="D53" s="9" t="s">
        <v>155</v>
      </c>
      <c r="E53" s="1" t="s">
        <v>154</v>
      </c>
      <c r="F53" s="9" t="s">
        <v>144</v>
      </c>
      <c r="G53" s="2"/>
      <c r="H53" s="9" t="s">
        <v>156</v>
      </c>
      <c r="I53" s="3"/>
      <c r="J53" s="3"/>
      <c r="K53" s="18" t="s">
        <v>61</v>
      </c>
      <c r="L53" s="1" t="s">
        <v>154</v>
      </c>
      <c r="M53" s="9" t="s">
        <v>120</v>
      </c>
      <c r="R53" s="10"/>
    </row>
    <row r="54" spans="1:34">
      <c r="A54" s="1" t="s">
        <v>33</v>
      </c>
      <c r="B54" s="1" t="s">
        <v>157</v>
      </c>
      <c r="C54" s="1" t="s">
        <v>157</v>
      </c>
      <c r="D54" s="9" t="s">
        <v>155</v>
      </c>
      <c r="E54" s="1" t="s">
        <v>157</v>
      </c>
      <c r="F54" s="9" t="s">
        <v>144</v>
      </c>
      <c r="G54" s="2"/>
      <c r="H54" s="9" t="s">
        <v>156</v>
      </c>
      <c r="I54" s="3"/>
      <c r="J54" s="3"/>
      <c r="K54" s="18" t="s">
        <v>61</v>
      </c>
      <c r="L54" s="1" t="s">
        <v>157</v>
      </c>
      <c r="M54" s="9" t="s">
        <v>158</v>
      </c>
      <c r="R54" s="10"/>
    </row>
    <row r="55" spans="1:34">
      <c r="A55" s="1" t="s">
        <v>33</v>
      </c>
      <c r="B55" s="1" t="s">
        <v>159</v>
      </c>
      <c r="C55" s="1" t="s">
        <v>159</v>
      </c>
      <c r="D55" s="15" t="s">
        <v>160</v>
      </c>
      <c r="E55" s="1" t="s">
        <v>159</v>
      </c>
      <c r="F55" s="16" t="s">
        <v>161</v>
      </c>
      <c r="G55" s="2"/>
      <c r="H55" s="9" t="s">
        <v>162</v>
      </c>
      <c r="I55" s="3"/>
      <c r="J55" s="3"/>
      <c r="K55" s="25" t="s">
        <v>61</v>
      </c>
      <c r="L55" s="1" t="s">
        <v>159</v>
      </c>
      <c r="M55" s="24" t="s">
        <v>163</v>
      </c>
      <c r="N55" s="9" t="s">
        <v>147</v>
      </c>
      <c r="O55" s="29">
        <v>0.88</v>
      </c>
      <c r="P55" s="29">
        <v>0.55000000000000004</v>
      </c>
      <c r="Q55" s="29">
        <v>24.95</v>
      </c>
      <c r="R55" s="10" t="s">
        <v>69</v>
      </c>
      <c r="S55" s="9" t="s">
        <v>164</v>
      </c>
      <c r="T55" s="9" t="s">
        <v>165</v>
      </c>
      <c r="U55" s="29">
        <v>2.7210000000000001</v>
      </c>
      <c r="V55" s="9">
        <v>0.115</v>
      </c>
      <c r="W55" s="30">
        <v>25146</v>
      </c>
      <c r="X55" s="30">
        <v>96.1</v>
      </c>
      <c r="Y55" s="30">
        <v>13.4</v>
      </c>
      <c r="AC55" s="9">
        <v>2.7130000000000001</v>
      </c>
      <c r="AD55" s="9">
        <v>0.105</v>
      </c>
      <c r="AE55" s="9">
        <v>85.1</v>
      </c>
      <c r="AF55" s="9">
        <v>2.7450000000000001</v>
      </c>
      <c r="AG55" s="9">
        <v>2.7450000000000001</v>
      </c>
      <c r="AH55" s="9">
        <v>2.8490000000000002</v>
      </c>
    </row>
    <row r="56" spans="1:34">
      <c r="A56" s="1" t="s">
        <v>33</v>
      </c>
      <c r="B56" s="1" t="s">
        <v>166</v>
      </c>
      <c r="C56" s="1" t="s">
        <v>166</v>
      </c>
      <c r="D56" s="15" t="s">
        <v>167</v>
      </c>
      <c r="E56" s="1" t="s">
        <v>166</v>
      </c>
      <c r="F56" s="16" t="s">
        <v>161</v>
      </c>
      <c r="G56" s="2"/>
      <c r="H56" s="9" t="s">
        <v>162</v>
      </c>
      <c r="I56" s="3"/>
      <c r="J56" s="3"/>
      <c r="K56" s="25" t="s">
        <v>61</v>
      </c>
      <c r="L56" s="1" t="s">
        <v>166</v>
      </c>
      <c r="M56" s="9" t="s">
        <v>120</v>
      </c>
      <c r="N56" s="9" t="s">
        <v>168</v>
      </c>
      <c r="R56" s="10"/>
    </row>
    <row r="57" spans="1:34">
      <c r="A57" s="1" t="s">
        <v>33</v>
      </c>
      <c r="B57" s="1" t="s">
        <v>169</v>
      </c>
      <c r="C57" s="1" t="s">
        <v>169</v>
      </c>
      <c r="D57" s="15" t="s">
        <v>160</v>
      </c>
      <c r="E57" s="1" t="s">
        <v>169</v>
      </c>
      <c r="F57" s="16" t="s">
        <v>161</v>
      </c>
      <c r="G57" s="2"/>
      <c r="H57" s="9" t="s">
        <v>162</v>
      </c>
      <c r="I57" s="3"/>
      <c r="J57" s="3"/>
      <c r="K57" s="25" t="s">
        <v>61</v>
      </c>
      <c r="L57" s="1" t="s">
        <v>169</v>
      </c>
      <c r="M57" s="24" t="s">
        <v>170</v>
      </c>
      <c r="O57" s="9">
        <v>0.24099999999999999</v>
      </c>
      <c r="P57" s="9">
        <v>1.8</v>
      </c>
      <c r="Q57" s="9">
        <v>11.79</v>
      </c>
      <c r="R57" s="10" t="s">
        <v>69</v>
      </c>
      <c r="S57" s="9" t="s">
        <v>171</v>
      </c>
      <c r="T57" s="9" t="s">
        <v>172</v>
      </c>
      <c r="U57" s="29">
        <v>4.3470000000000004</v>
      </c>
      <c r="V57" s="30">
        <v>0.307</v>
      </c>
      <c r="W57" s="9">
        <v>5990</v>
      </c>
      <c r="X57" s="9">
        <v>87.6</v>
      </c>
      <c r="Y57" s="9">
        <v>7.4</v>
      </c>
      <c r="AC57" s="9">
        <v>4.1959999999999997</v>
      </c>
      <c r="AD57" s="9">
        <v>0.28100000000000003</v>
      </c>
      <c r="AE57" s="9">
        <v>62.9</v>
      </c>
      <c r="AF57" s="9">
        <v>4.8620000000000001</v>
      </c>
      <c r="AG57" s="9">
        <v>4.8620000000000001</v>
      </c>
      <c r="AH57" s="9">
        <v>4.0890000000000004</v>
      </c>
    </row>
    <row r="58" spans="1:34">
      <c r="A58" s="1"/>
      <c r="B58" s="1"/>
      <c r="C58" s="1"/>
      <c r="E58" s="1"/>
      <c r="G58" s="2"/>
      <c r="I58" s="3"/>
      <c r="J58" s="3"/>
      <c r="K58" s="25"/>
      <c r="L58" s="1" t="s">
        <v>173</v>
      </c>
      <c r="M58" s="24" t="s">
        <v>174</v>
      </c>
      <c r="R58" s="10"/>
    </row>
    <row r="59" spans="1:34">
      <c r="A59" s="1" t="s">
        <v>33</v>
      </c>
      <c r="B59" s="1" t="s">
        <v>175</v>
      </c>
      <c r="C59" s="1" t="s">
        <v>175</v>
      </c>
      <c r="D59" s="15" t="s">
        <v>167</v>
      </c>
      <c r="E59" s="1" t="s">
        <v>175</v>
      </c>
      <c r="F59" s="16" t="s">
        <v>161</v>
      </c>
      <c r="G59" s="2"/>
      <c r="H59" s="9" t="s">
        <v>162</v>
      </c>
      <c r="I59" s="3"/>
      <c r="J59" s="3"/>
      <c r="K59" s="25" t="s">
        <v>61</v>
      </c>
      <c r="L59" s="1" t="s">
        <v>175</v>
      </c>
      <c r="M59" s="9" t="s">
        <v>176</v>
      </c>
      <c r="R59" s="10"/>
    </row>
    <row r="60" spans="1:34">
      <c r="A60" s="4" t="s">
        <v>33</v>
      </c>
      <c r="B60" s="1" t="s">
        <v>177</v>
      </c>
      <c r="C60" s="1" t="s">
        <v>177</v>
      </c>
      <c r="D60" s="15" t="s">
        <v>167</v>
      </c>
      <c r="E60" s="1" t="s">
        <v>177</v>
      </c>
      <c r="F60" s="16" t="s">
        <v>161</v>
      </c>
      <c r="G60" s="2"/>
      <c r="H60" s="9" t="s">
        <v>162</v>
      </c>
      <c r="I60" s="3"/>
      <c r="J60" s="3"/>
      <c r="K60" s="25" t="s">
        <v>61</v>
      </c>
      <c r="L60" s="1" t="s">
        <v>177</v>
      </c>
      <c r="M60" s="9" t="s">
        <v>117</v>
      </c>
      <c r="R60" s="10"/>
    </row>
    <row r="61" spans="1:34">
      <c r="A61" s="1" t="s">
        <v>33</v>
      </c>
      <c r="B61" s="1" t="s">
        <v>178</v>
      </c>
      <c r="C61" s="1" t="s">
        <v>178</v>
      </c>
      <c r="D61" s="26" t="s">
        <v>179</v>
      </c>
      <c r="E61" s="1" t="s">
        <v>178</v>
      </c>
      <c r="F61" s="16" t="s">
        <v>180</v>
      </c>
      <c r="G61" s="2"/>
      <c r="H61" s="9" t="s">
        <v>181</v>
      </c>
      <c r="I61" s="3"/>
      <c r="J61" s="3"/>
      <c r="K61" s="21" t="s">
        <v>41</v>
      </c>
      <c r="L61" s="1" t="s">
        <v>178</v>
      </c>
      <c r="M61" s="9" t="s">
        <v>54</v>
      </c>
      <c r="R61" s="10"/>
    </row>
    <row r="62" spans="1:34">
      <c r="A62" s="1" t="s">
        <v>33</v>
      </c>
      <c r="B62" s="1" t="s">
        <v>182</v>
      </c>
      <c r="C62" s="1" t="s">
        <v>182</v>
      </c>
      <c r="D62" s="15" t="s">
        <v>179</v>
      </c>
      <c r="E62" s="1" t="s">
        <v>182</v>
      </c>
      <c r="F62" s="16" t="s">
        <v>180</v>
      </c>
      <c r="G62" s="2"/>
      <c r="H62" s="9" t="s">
        <v>181</v>
      </c>
      <c r="I62" s="3"/>
      <c r="J62" s="3"/>
      <c r="K62" s="21" t="s">
        <v>41</v>
      </c>
      <c r="L62" s="1" t="s">
        <v>182</v>
      </c>
      <c r="M62" s="9" t="s">
        <v>42</v>
      </c>
      <c r="R62" s="10"/>
    </row>
    <row r="63" spans="1:34">
      <c r="A63" s="1" t="s">
        <v>33</v>
      </c>
      <c r="B63" s="1" t="s">
        <v>183</v>
      </c>
      <c r="C63" s="1" t="s">
        <v>183</v>
      </c>
      <c r="D63" s="15" t="s">
        <v>179</v>
      </c>
      <c r="E63" s="1" t="s">
        <v>183</v>
      </c>
      <c r="F63" s="22" t="s">
        <v>184</v>
      </c>
      <c r="G63" s="2"/>
      <c r="H63" s="9" t="s">
        <v>185</v>
      </c>
      <c r="I63" s="3"/>
      <c r="J63" s="3"/>
      <c r="K63" s="21" t="s">
        <v>41</v>
      </c>
      <c r="L63" s="1" t="s">
        <v>183</v>
      </c>
      <c r="M63" s="9" t="s">
        <v>186</v>
      </c>
      <c r="R63" s="10"/>
    </row>
    <row r="64" spans="1:34">
      <c r="A64" s="1" t="s">
        <v>33</v>
      </c>
      <c r="B64" s="1" t="s">
        <v>187</v>
      </c>
      <c r="C64" s="1" t="s">
        <v>187</v>
      </c>
      <c r="D64" s="26" t="s">
        <v>179</v>
      </c>
      <c r="E64" s="1" t="s">
        <v>187</v>
      </c>
      <c r="F64" s="16" t="s">
        <v>184</v>
      </c>
      <c r="G64" s="2"/>
      <c r="H64" s="9" t="s">
        <v>185</v>
      </c>
      <c r="I64" s="3"/>
      <c r="J64" s="3"/>
      <c r="K64" s="21" t="s">
        <v>41</v>
      </c>
      <c r="L64" s="1" t="s">
        <v>187</v>
      </c>
      <c r="M64" s="9" t="s">
        <v>176</v>
      </c>
      <c r="R64" s="10"/>
    </row>
    <row r="65" spans="1:27">
      <c r="A65" s="1" t="s">
        <v>33</v>
      </c>
      <c r="B65" s="1" t="s">
        <v>188</v>
      </c>
      <c r="C65" s="1" t="s">
        <v>188</v>
      </c>
      <c r="D65" s="26" t="s">
        <v>179</v>
      </c>
      <c r="E65" s="1" t="s">
        <v>188</v>
      </c>
      <c r="F65" s="16" t="s">
        <v>180</v>
      </c>
      <c r="G65" s="2"/>
      <c r="H65" s="9" t="s">
        <v>189</v>
      </c>
      <c r="I65" s="3"/>
      <c r="J65" s="3"/>
      <c r="K65" s="21" t="s">
        <v>41</v>
      </c>
      <c r="L65" s="1" t="s">
        <v>188</v>
      </c>
      <c r="M65" s="9" t="s">
        <v>176</v>
      </c>
      <c r="R65" s="10"/>
    </row>
    <row r="66" spans="1:27">
      <c r="A66" s="1" t="s">
        <v>33</v>
      </c>
      <c r="B66" s="1" t="s">
        <v>190</v>
      </c>
      <c r="C66" s="1" t="s">
        <v>190</v>
      </c>
      <c r="D66" s="26" t="s">
        <v>179</v>
      </c>
      <c r="E66" s="1" t="s">
        <v>190</v>
      </c>
      <c r="F66" s="16" t="s">
        <v>191</v>
      </c>
      <c r="G66" s="2"/>
      <c r="H66" s="9" t="s">
        <v>189</v>
      </c>
      <c r="I66" s="3"/>
      <c r="J66" s="3"/>
      <c r="K66" s="21" t="s">
        <v>41</v>
      </c>
      <c r="L66" s="1" t="s">
        <v>190</v>
      </c>
      <c r="M66" s="9" t="s">
        <v>176</v>
      </c>
      <c r="R66" s="10"/>
      <c r="W66" s="9" t="s">
        <v>192</v>
      </c>
      <c r="X66" s="9" t="s">
        <v>193</v>
      </c>
      <c r="Y66" s="9" t="s">
        <v>194</v>
      </c>
      <c r="Z66" s="9" t="s">
        <v>195</v>
      </c>
      <c r="AA66" s="9" t="s">
        <v>196</v>
      </c>
    </row>
    <row r="67" spans="1:27">
      <c r="A67" s="1" t="s">
        <v>33</v>
      </c>
      <c r="B67" s="1" t="s">
        <v>197</v>
      </c>
      <c r="C67" s="1" t="s">
        <v>197</v>
      </c>
      <c r="D67" s="26" t="s">
        <v>179</v>
      </c>
      <c r="E67" s="1" t="s">
        <v>197</v>
      </c>
      <c r="F67" s="16" t="s">
        <v>184</v>
      </c>
      <c r="G67" s="2"/>
      <c r="H67" s="9" t="s">
        <v>198</v>
      </c>
      <c r="I67" s="3"/>
      <c r="J67" s="3"/>
      <c r="K67" s="21" t="s">
        <v>41</v>
      </c>
      <c r="L67" s="1" t="s">
        <v>197</v>
      </c>
      <c r="M67" s="9" t="s">
        <v>54</v>
      </c>
      <c r="R67" s="10"/>
    </row>
    <row r="68" spans="1:27">
      <c r="A68" s="4" t="s">
        <v>33</v>
      </c>
      <c r="B68" s="1" t="s">
        <v>199</v>
      </c>
      <c r="C68" s="1" t="s">
        <v>199</v>
      </c>
      <c r="D68" s="9" t="s">
        <v>179</v>
      </c>
      <c r="E68" s="1" t="s">
        <v>199</v>
      </c>
      <c r="F68" s="9" t="s">
        <v>191</v>
      </c>
      <c r="G68" s="2"/>
      <c r="H68" s="9" t="s">
        <v>200</v>
      </c>
      <c r="I68" s="2"/>
      <c r="J68" s="2"/>
      <c r="K68" s="21" t="s">
        <v>41</v>
      </c>
      <c r="L68" s="1" t="s">
        <v>199</v>
      </c>
      <c r="M68" s="9" t="s">
        <v>176</v>
      </c>
      <c r="R68" s="10"/>
    </row>
    <row r="69" spans="1:27">
      <c r="A69" s="1" t="s">
        <v>33</v>
      </c>
      <c r="B69" s="1" t="s">
        <v>201</v>
      </c>
      <c r="C69" s="1" t="s">
        <v>201</v>
      </c>
      <c r="D69" s="26" t="s">
        <v>179</v>
      </c>
      <c r="E69" s="1" t="s">
        <v>201</v>
      </c>
      <c r="F69" s="16" t="s">
        <v>191</v>
      </c>
      <c r="G69" s="2"/>
      <c r="H69" s="9" t="s">
        <v>200</v>
      </c>
      <c r="I69" s="2"/>
      <c r="J69" s="2"/>
      <c r="K69" s="21" t="s">
        <v>41</v>
      </c>
      <c r="L69" s="1" t="s">
        <v>201</v>
      </c>
      <c r="M69" s="9" t="s">
        <v>176</v>
      </c>
      <c r="R69" s="10"/>
    </row>
    <row r="70" spans="1:27">
      <c r="A70" s="1" t="s">
        <v>33</v>
      </c>
      <c r="B70" s="1" t="s">
        <v>202</v>
      </c>
      <c r="C70" s="1" t="s">
        <v>202</v>
      </c>
      <c r="D70" s="26" t="s">
        <v>179</v>
      </c>
      <c r="E70" s="1" t="s">
        <v>202</v>
      </c>
      <c r="F70" s="16" t="s">
        <v>191</v>
      </c>
      <c r="G70" s="2"/>
      <c r="H70" s="9" t="s">
        <v>200</v>
      </c>
      <c r="I70" s="2"/>
      <c r="J70" s="2"/>
      <c r="K70" s="21" t="s">
        <v>41</v>
      </c>
      <c r="L70" s="1" t="s">
        <v>202</v>
      </c>
      <c r="M70" s="9" t="s">
        <v>176</v>
      </c>
      <c r="R70" s="10"/>
    </row>
    <row r="71" spans="1:27">
      <c r="A71" s="1" t="s">
        <v>33</v>
      </c>
      <c r="B71" s="1" t="s">
        <v>203</v>
      </c>
      <c r="C71" s="1" t="s">
        <v>203</v>
      </c>
      <c r="D71" s="9" t="s">
        <v>179</v>
      </c>
      <c r="E71" s="1" t="s">
        <v>203</v>
      </c>
      <c r="F71" s="9" t="s">
        <v>191</v>
      </c>
      <c r="G71" s="2"/>
      <c r="H71" s="9" t="s">
        <v>200</v>
      </c>
      <c r="I71" s="2"/>
      <c r="J71" s="2"/>
      <c r="K71" s="18" t="s">
        <v>41</v>
      </c>
      <c r="L71" s="1" t="s">
        <v>203</v>
      </c>
      <c r="M71" s="9" t="s">
        <v>176</v>
      </c>
      <c r="R71" s="10"/>
    </row>
    <row r="72" spans="1:27">
      <c r="A72" s="1" t="s">
        <v>33</v>
      </c>
      <c r="B72" s="1" t="s">
        <v>204</v>
      </c>
      <c r="C72" s="1" t="s">
        <v>204</v>
      </c>
      <c r="D72" s="9" t="s">
        <v>179</v>
      </c>
      <c r="E72" s="1" t="s">
        <v>204</v>
      </c>
      <c r="F72" s="9" t="s">
        <v>191</v>
      </c>
      <c r="G72" s="2"/>
      <c r="H72" s="9" t="s">
        <v>205</v>
      </c>
      <c r="I72" s="2"/>
      <c r="J72" s="2"/>
      <c r="K72" s="18" t="s">
        <v>41</v>
      </c>
      <c r="L72" s="1" t="s">
        <v>204</v>
      </c>
      <c r="M72" s="9" t="s">
        <v>176</v>
      </c>
      <c r="R72" s="10"/>
    </row>
    <row r="73" spans="1:27">
      <c r="A73" s="1" t="s">
        <v>33</v>
      </c>
      <c r="B73" s="1" t="s">
        <v>206</v>
      </c>
      <c r="C73" s="1" t="s">
        <v>206</v>
      </c>
      <c r="D73" s="9" t="s">
        <v>179</v>
      </c>
      <c r="E73" s="1" t="s">
        <v>206</v>
      </c>
      <c r="F73" s="9" t="s">
        <v>191</v>
      </c>
      <c r="G73" s="2"/>
      <c r="H73" s="9" t="s">
        <v>205</v>
      </c>
      <c r="I73" s="2"/>
      <c r="J73" s="2"/>
      <c r="K73" s="18" t="s">
        <v>41</v>
      </c>
      <c r="L73" s="1" t="s">
        <v>206</v>
      </c>
      <c r="M73" s="9" t="s">
        <v>176</v>
      </c>
      <c r="R73" s="10"/>
    </row>
    <row r="74" spans="1:27">
      <c r="A74" s="1" t="s">
        <v>33</v>
      </c>
      <c r="B74" s="1" t="s">
        <v>207</v>
      </c>
      <c r="C74" s="1" t="s">
        <v>207</v>
      </c>
      <c r="D74" s="9" t="s">
        <v>179</v>
      </c>
      <c r="E74" s="1" t="s">
        <v>207</v>
      </c>
      <c r="F74" s="9" t="s">
        <v>191</v>
      </c>
      <c r="G74" s="2"/>
      <c r="H74" s="9" t="s">
        <v>205</v>
      </c>
      <c r="I74" s="2"/>
      <c r="J74" s="2"/>
      <c r="K74" s="18" t="s">
        <v>41</v>
      </c>
      <c r="L74" s="1" t="s">
        <v>207</v>
      </c>
      <c r="M74" s="9" t="s">
        <v>176</v>
      </c>
      <c r="R74" s="10"/>
    </row>
    <row r="75" spans="1:27">
      <c r="A75" s="1" t="s">
        <v>33</v>
      </c>
      <c r="B75" s="1" t="s">
        <v>208</v>
      </c>
      <c r="C75" s="1" t="s">
        <v>208</v>
      </c>
      <c r="D75" s="9" t="s">
        <v>179</v>
      </c>
      <c r="E75" s="1" t="s">
        <v>208</v>
      </c>
      <c r="F75" s="9" t="s">
        <v>180</v>
      </c>
      <c r="G75" s="2"/>
      <c r="H75" s="9" t="s">
        <v>209</v>
      </c>
      <c r="I75" s="2"/>
      <c r="J75" s="2"/>
      <c r="K75" s="18" t="s">
        <v>41</v>
      </c>
      <c r="L75" s="1" t="s">
        <v>208</v>
      </c>
      <c r="M75" s="9" t="s">
        <v>176</v>
      </c>
      <c r="R75" s="10"/>
    </row>
    <row r="76" spans="1:27">
      <c r="A76" s="4" t="s">
        <v>33</v>
      </c>
      <c r="B76" s="1" t="s">
        <v>210</v>
      </c>
      <c r="C76" s="1" t="s">
        <v>210</v>
      </c>
      <c r="D76" s="9" t="s">
        <v>179</v>
      </c>
      <c r="E76" s="1" t="s">
        <v>210</v>
      </c>
      <c r="F76" s="9" t="s">
        <v>180</v>
      </c>
      <c r="G76" s="2"/>
      <c r="H76" s="9" t="s">
        <v>209</v>
      </c>
      <c r="I76" s="2"/>
      <c r="J76" s="2"/>
      <c r="K76" s="18" t="s">
        <v>41</v>
      </c>
      <c r="L76" s="1" t="s">
        <v>210</v>
      </c>
      <c r="M76" s="9" t="s">
        <v>42</v>
      </c>
      <c r="R76" s="10"/>
    </row>
    <row r="77" spans="1:27">
      <c r="A77" s="1" t="s">
        <v>33</v>
      </c>
      <c r="B77" s="1" t="s">
        <v>211</v>
      </c>
      <c r="C77" s="1" t="s">
        <v>211</v>
      </c>
      <c r="D77" s="9" t="s">
        <v>179</v>
      </c>
      <c r="E77" s="1" t="s">
        <v>211</v>
      </c>
      <c r="F77" s="9" t="s">
        <v>180</v>
      </c>
      <c r="G77" s="2"/>
      <c r="H77" s="9" t="s">
        <v>209</v>
      </c>
      <c r="I77" s="2"/>
      <c r="J77" s="5"/>
      <c r="K77" s="18" t="s">
        <v>41</v>
      </c>
      <c r="L77" s="1" t="s">
        <v>211</v>
      </c>
      <c r="M77" s="9" t="s">
        <v>176</v>
      </c>
      <c r="R77" s="10"/>
    </row>
    <row r="78" spans="1:27">
      <c r="A78" s="1" t="s">
        <v>33</v>
      </c>
      <c r="B78" s="1" t="s">
        <v>212</v>
      </c>
      <c r="C78" s="1" t="s">
        <v>212</v>
      </c>
      <c r="E78" s="1" t="s">
        <v>212</v>
      </c>
      <c r="G78" s="2"/>
      <c r="I78" s="2"/>
      <c r="J78" s="5"/>
      <c r="L78" s="1" t="s">
        <v>212</v>
      </c>
      <c r="M78" s="9" t="s">
        <v>176</v>
      </c>
      <c r="R78" s="10"/>
    </row>
    <row r="79" spans="1:27">
      <c r="A79" s="1" t="s">
        <v>33</v>
      </c>
      <c r="B79" s="1" t="s">
        <v>213</v>
      </c>
      <c r="C79" s="1" t="s">
        <v>213</v>
      </c>
      <c r="D79" s="9" t="s">
        <v>214</v>
      </c>
      <c r="E79" s="1" t="s">
        <v>213</v>
      </c>
      <c r="F79" s="9" t="s">
        <v>215</v>
      </c>
      <c r="G79" s="2"/>
      <c r="H79" s="9" t="s">
        <v>216</v>
      </c>
      <c r="I79" s="2"/>
      <c r="J79" s="2"/>
      <c r="K79" s="18" t="s">
        <v>217</v>
      </c>
      <c r="L79" s="1" t="s">
        <v>213</v>
      </c>
      <c r="M79" s="9" t="s">
        <v>218</v>
      </c>
      <c r="R79" s="10"/>
    </row>
    <row r="80" spans="1:27">
      <c r="A80" s="1" t="s">
        <v>33</v>
      </c>
      <c r="B80" s="1" t="s">
        <v>219</v>
      </c>
      <c r="C80" s="1" t="s">
        <v>219</v>
      </c>
      <c r="D80" s="9" t="s">
        <v>214</v>
      </c>
      <c r="E80" s="1" t="s">
        <v>219</v>
      </c>
      <c r="F80" s="9" t="s">
        <v>215</v>
      </c>
      <c r="G80" s="2"/>
      <c r="H80" s="9" t="s">
        <v>216</v>
      </c>
      <c r="I80" s="2"/>
      <c r="J80" s="2"/>
      <c r="K80" s="18" t="s">
        <v>217</v>
      </c>
      <c r="L80" s="1" t="s">
        <v>219</v>
      </c>
      <c r="M80" s="24" t="s">
        <v>220</v>
      </c>
      <c r="N80" s="9" t="s">
        <v>221</v>
      </c>
      <c r="R80" s="10"/>
    </row>
    <row r="81" spans="1:34">
      <c r="A81" s="1" t="s">
        <v>33</v>
      </c>
      <c r="B81" s="1" t="s">
        <v>222</v>
      </c>
      <c r="C81" s="1" t="s">
        <v>222</v>
      </c>
      <c r="D81" s="9" t="s">
        <v>214</v>
      </c>
      <c r="E81" s="1" t="s">
        <v>222</v>
      </c>
      <c r="F81" s="9" t="s">
        <v>215</v>
      </c>
      <c r="G81" s="2"/>
      <c r="H81" s="9" t="s">
        <v>216</v>
      </c>
      <c r="I81" s="2"/>
      <c r="J81" s="2"/>
      <c r="K81" s="18" t="s">
        <v>217</v>
      </c>
      <c r="L81" s="1" t="s">
        <v>222</v>
      </c>
      <c r="M81" s="9" t="s">
        <v>47</v>
      </c>
      <c r="R81" s="10"/>
    </row>
    <row r="82" spans="1:34">
      <c r="A82" s="1" t="s">
        <v>33</v>
      </c>
      <c r="B82" s="1" t="s">
        <v>223</v>
      </c>
      <c r="C82" s="1" t="s">
        <v>223</v>
      </c>
      <c r="D82" s="9" t="s">
        <v>214</v>
      </c>
      <c r="E82" s="1" t="s">
        <v>223</v>
      </c>
      <c r="F82" s="9" t="s">
        <v>215</v>
      </c>
      <c r="G82" s="2"/>
      <c r="H82" s="9" t="s">
        <v>216</v>
      </c>
      <c r="I82" s="2"/>
      <c r="J82" s="2"/>
      <c r="K82" s="18" t="s">
        <v>217</v>
      </c>
      <c r="L82" s="1" t="s">
        <v>223</v>
      </c>
      <c r="R82" s="10"/>
    </row>
    <row r="83" spans="1:34">
      <c r="A83" s="1" t="s">
        <v>33</v>
      </c>
      <c r="B83" s="1" t="s">
        <v>224</v>
      </c>
      <c r="C83" s="1" t="s">
        <v>224</v>
      </c>
      <c r="D83" s="9" t="s">
        <v>214</v>
      </c>
      <c r="E83" s="1" t="s">
        <v>224</v>
      </c>
      <c r="F83" s="9" t="s">
        <v>215</v>
      </c>
      <c r="G83" s="2"/>
      <c r="H83" s="9" t="s">
        <v>216</v>
      </c>
      <c r="I83" s="2"/>
      <c r="J83" s="2"/>
      <c r="K83" s="18" t="s">
        <v>217</v>
      </c>
      <c r="L83" s="1" t="s">
        <v>224</v>
      </c>
      <c r="R83" s="10"/>
    </row>
    <row r="84" spans="1:34">
      <c r="A84" s="4" t="s">
        <v>33</v>
      </c>
      <c r="B84" s="1" t="s">
        <v>225</v>
      </c>
      <c r="C84" s="1" t="s">
        <v>225</v>
      </c>
      <c r="D84" s="9" t="s">
        <v>226</v>
      </c>
      <c r="E84" s="1" t="s">
        <v>225</v>
      </c>
      <c r="F84" s="9" t="s">
        <v>227</v>
      </c>
      <c r="G84" s="2"/>
      <c r="H84" s="9" t="s">
        <v>228</v>
      </c>
      <c r="I84" s="2"/>
      <c r="J84" s="2"/>
      <c r="K84" s="18" t="s">
        <v>217</v>
      </c>
      <c r="L84" s="1" t="s">
        <v>225</v>
      </c>
      <c r="R84" s="10"/>
    </row>
    <row r="85" spans="1:34">
      <c r="A85" s="1" t="s">
        <v>33</v>
      </c>
      <c r="B85" s="1" t="s">
        <v>229</v>
      </c>
      <c r="C85" s="1" t="s">
        <v>229</v>
      </c>
      <c r="D85" s="9" t="s">
        <v>230</v>
      </c>
      <c r="E85" s="1" t="s">
        <v>229</v>
      </c>
      <c r="F85" s="9" t="s">
        <v>231</v>
      </c>
      <c r="G85" s="2"/>
      <c r="H85" s="9" t="s">
        <v>232</v>
      </c>
      <c r="I85" s="2"/>
      <c r="J85" s="2"/>
      <c r="K85" s="18" t="s">
        <v>217</v>
      </c>
      <c r="L85" s="1" t="s">
        <v>229</v>
      </c>
      <c r="M85" s="24" t="s">
        <v>174</v>
      </c>
      <c r="R85" s="10"/>
    </row>
    <row r="86" spans="1:34">
      <c r="A86" s="1" t="s">
        <v>33</v>
      </c>
      <c r="B86" s="1" t="s">
        <v>233</v>
      </c>
      <c r="C86" s="1" t="s">
        <v>233</v>
      </c>
      <c r="D86" s="9" t="s">
        <v>234</v>
      </c>
      <c r="E86" s="1" t="s">
        <v>233</v>
      </c>
      <c r="F86" s="9" t="s">
        <v>235</v>
      </c>
      <c r="G86" s="2"/>
      <c r="H86" s="9" t="s">
        <v>236</v>
      </c>
      <c r="I86" s="2"/>
      <c r="J86" s="2"/>
      <c r="K86" s="18" t="s">
        <v>41</v>
      </c>
      <c r="L86" s="1" t="s">
        <v>233</v>
      </c>
      <c r="R86" s="10"/>
    </row>
    <row r="87" spans="1:34">
      <c r="A87" s="1" t="s">
        <v>33</v>
      </c>
      <c r="B87" s="1" t="s">
        <v>237</v>
      </c>
      <c r="C87" s="1" t="s">
        <v>237</v>
      </c>
      <c r="D87" s="9" t="s">
        <v>238</v>
      </c>
      <c r="E87" s="1" t="s">
        <v>237</v>
      </c>
      <c r="F87" s="9" t="s">
        <v>239</v>
      </c>
      <c r="G87" s="2"/>
      <c r="H87" s="9" t="s">
        <v>240</v>
      </c>
      <c r="I87" s="2"/>
      <c r="J87" s="2"/>
      <c r="K87" s="18" t="s">
        <v>241</v>
      </c>
      <c r="L87" s="1" t="s">
        <v>237</v>
      </c>
      <c r="R87" s="10"/>
    </row>
    <row r="88" spans="1:34">
      <c r="A88" s="1" t="s">
        <v>33</v>
      </c>
      <c r="B88" s="1" t="s">
        <v>242</v>
      </c>
      <c r="C88" s="1" t="s">
        <v>242</v>
      </c>
      <c r="D88" s="9" t="s">
        <v>243</v>
      </c>
      <c r="E88" s="1" t="s">
        <v>242</v>
      </c>
      <c r="F88" s="9" t="s">
        <v>244</v>
      </c>
      <c r="G88" s="2"/>
      <c r="H88" s="9" t="s">
        <v>245</v>
      </c>
      <c r="I88" s="2"/>
      <c r="J88" s="2"/>
      <c r="K88" s="18" t="s">
        <v>246</v>
      </c>
      <c r="L88" s="1" t="s">
        <v>242</v>
      </c>
      <c r="R88" s="10"/>
    </row>
    <row r="89" spans="1:34">
      <c r="A89" s="1" t="s">
        <v>33</v>
      </c>
      <c r="B89" s="1" t="s">
        <v>247</v>
      </c>
      <c r="C89" s="1" t="s">
        <v>247</v>
      </c>
      <c r="D89" s="9" t="s">
        <v>243</v>
      </c>
      <c r="E89" s="1" t="s">
        <v>247</v>
      </c>
      <c r="F89" s="9" t="s">
        <v>244</v>
      </c>
      <c r="G89" s="2"/>
      <c r="H89" s="9" t="s">
        <v>245</v>
      </c>
      <c r="I89" s="2"/>
      <c r="J89" s="2"/>
      <c r="K89" s="18" t="s">
        <v>246</v>
      </c>
      <c r="L89" s="1" t="s">
        <v>247</v>
      </c>
      <c r="R89" s="10"/>
    </row>
    <row r="90" spans="1:34">
      <c r="A90" s="1" t="s">
        <v>33</v>
      </c>
      <c r="B90" s="1" t="s">
        <v>248</v>
      </c>
      <c r="C90" s="1" t="s">
        <v>248</v>
      </c>
      <c r="D90" s="9" t="s">
        <v>243</v>
      </c>
      <c r="E90" s="1" t="s">
        <v>248</v>
      </c>
      <c r="F90" s="9" t="s">
        <v>249</v>
      </c>
      <c r="G90" s="2"/>
      <c r="H90" s="9" t="s">
        <v>250</v>
      </c>
      <c r="I90" s="2"/>
      <c r="J90" s="2"/>
      <c r="K90" s="18" t="s">
        <v>246</v>
      </c>
      <c r="L90" s="1" t="s">
        <v>248</v>
      </c>
      <c r="M90" s="24" t="s">
        <v>174</v>
      </c>
      <c r="N90" s="9" t="s">
        <v>251</v>
      </c>
      <c r="O90" s="9">
        <f>49/91.3</f>
        <v>0.53669222343921141</v>
      </c>
      <c r="P90" s="9">
        <v>0.25</v>
      </c>
      <c r="Q90" s="9">
        <v>24.76</v>
      </c>
      <c r="R90" s="10" t="s">
        <v>69</v>
      </c>
      <c r="S90" s="9" t="s">
        <v>70</v>
      </c>
      <c r="T90" s="9" t="s">
        <v>252</v>
      </c>
      <c r="U90" s="29">
        <v>1.778</v>
      </c>
      <c r="V90" s="9">
        <v>7.4999999999999997E-2</v>
      </c>
      <c r="W90" s="9">
        <v>13382</v>
      </c>
      <c r="X90" s="9">
        <v>93</v>
      </c>
      <c r="Y90" s="9">
        <v>20.100000000000001</v>
      </c>
      <c r="AC90" s="9">
        <v>1.7669999999999999</v>
      </c>
      <c r="AD90" s="9">
        <v>7.0999999999999994E-2</v>
      </c>
      <c r="AE90" s="9">
        <v>82.2</v>
      </c>
      <c r="AF90" s="9">
        <v>1.7609999999999999</v>
      </c>
      <c r="AG90" s="9">
        <v>1.7609999999999999</v>
      </c>
      <c r="AH90" s="9">
        <v>1.889</v>
      </c>
    </row>
    <row r="91" spans="1:34">
      <c r="A91" s="1" t="s">
        <v>33</v>
      </c>
      <c r="B91" s="1" t="s">
        <v>253</v>
      </c>
      <c r="C91" s="1" t="s">
        <v>253</v>
      </c>
      <c r="D91" s="9" t="s">
        <v>254</v>
      </c>
      <c r="E91" s="1" t="s">
        <v>253</v>
      </c>
      <c r="F91" s="9" t="s">
        <v>255</v>
      </c>
      <c r="G91" s="2"/>
      <c r="H91" s="9" t="s">
        <v>256</v>
      </c>
      <c r="I91" s="2"/>
      <c r="J91" s="2"/>
      <c r="K91" s="18" t="s">
        <v>41</v>
      </c>
      <c r="L91" s="1" t="s">
        <v>253</v>
      </c>
      <c r="R91" s="10"/>
    </row>
    <row r="92" spans="1:34">
      <c r="A92" s="4" t="s">
        <v>33</v>
      </c>
      <c r="B92" s="1" t="s">
        <v>257</v>
      </c>
      <c r="C92" s="1" t="s">
        <v>257</v>
      </c>
      <c r="D92" s="9" t="s">
        <v>243</v>
      </c>
      <c r="E92" s="1" t="s">
        <v>257</v>
      </c>
      <c r="F92" s="9" t="s">
        <v>244</v>
      </c>
      <c r="G92" s="2"/>
      <c r="H92" s="9" t="s">
        <v>245</v>
      </c>
      <c r="I92" s="2"/>
      <c r="J92" s="2"/>
      <c r="K92" s="18" t="s">
        <v>246</v>
      </c>
      <c r="L92" s="1" t="s">
        <v>257</v>
      </c>
      <c r="R92" s="10"/>
    </row>
    <row r="93" spans="1:34">
      <c r="A93" s="1" t="s">
        <v>33</v>
      </c>
      <c r="B93" s="1" t="s">
        <v>258</v>
      </c>
      <c r="C93" s="1" t="s">
        <v>258</v>
      </c>
      <c r="D93" s="9" t="s">
        <v>243</v>
      </c>
      <c r="E93" s="1" t="s">
        <v>258</v>
      </c>
      <c r="F93" s="9" t="s">
        <v>249</v>
      </c>
      <c r="G93" s="2"/>
      <c r="H93" s="9" t="s">
        <v>259</v>
      </c>
      <c r="I93" s="2"/>
      <c r="J93" s="2"/>
      <c r="K93" s="18" t="s">
        <v>246</v>
      </c>
      <c r="L93" s="1" t="s">
        <v>258</v>
      </c>
      <c r="M93" s="24" t="s">
        <v>174</v>
      </c>
      <c r="N93" s="9" t="s">
        <v>260</v>
      </c>
      <c r="O93" s="9">
        <f>(40.3+4.1+4.6)/(100-24)</f>
        <v>0.64473684210526316</v>
      </c>
      <c r="P93" s="9">
        <v>0.31</v>
      </c>
      <c r="Q93" s="9">
        <v>26.72</v>
      </c>
      <c r="R93" s="28" t="s">
        <v>261</v>
      </c>
      <c r="S93" s="9" t="s">
        <v>70</v>
      </c>
      <c r="T93" s="9" t="s">
        <v>262</v>
      </c>
      <c r="U93" s="29">
        <v>2.351</v>
      </c>
      <c r="V93" s="9">
        <v>0.17100000000000001</v>
      </c>
      <c r="W93" s="9">
        <v>6175</v>
      </c>
      <c r="X93" s="9">
        <v>97.1</v>
      </c>
      <c r="Y93" s="9">
        <v>11.4</v>
      </c>
      <c r="AC93" s="9">
        <v>2.3130000000000002</v>
      </c>
      <c r="AD93" s="9">
        <v>0.14699999999999999</v>
      </c>
      <c r="AE93" s="9">
        <v>72.900000000000006</v>
      </c>
      <c r="AF93" s="9">
        <v>2.2829999999999999</v>
      </c>
      <c r="AG93" s="9">
        <v>2.2829999999999999</v>
      </c>
      <c r="AH93" s="9">
        <v>2.9129999999999998</v>
      </c>
    </row>
    <row r="94" spans="1:34">
      <c r="A94" s="1" t="s">
        <v>33</v>
      </c>
      <c r="B94" s="1" t="s">
        <v>263</v>
      </c>
      <c r="C94" s="1" t="s">
        <v>263</v>
      </c>
      <c r="D94" s="9" t="s">
        <v>243</v>
      </c>
      <c r="E94" s="1" t="s">
        <v>263</v>
      </c>
      <c r="F94" s="9" t="s">
        <v>249</v>
      </c>
      <c r="G94" s="2"/>
      <c r="H94" s="9" t="s">
        <v>259</v>
      </c>
      <c r="I94" s="2"/>
      <c r="J94" s="2"/>
      <c r="K94" s="18" t="s">
        <v>246</v>
      </c>
      <c r="L94" s="1" t="s">
        <v>263</v>
      </c>
      <c r="M94" s="24" t="s">
        <v>174</v>
      </c>
      <c r="N94" s="9" t="s">
        <v>260</v>
      </c>
      <c r="O94" s="9">
        <f>(2.6+7+6.2+3.6+3.2+2)/(100-68.3)</f>
        <v>0.77602523659305989</v>
      </c>
      <c r="P94" s="9">
        <v>0.5</v>
      </c>
      <c r="Q94" s="9">
        <v>8.09</v>
      </c>
      <c r="R94" s="28" t="s">
        <v>264</v>
      </c>
      <c r="S94" s="9" t="s">
        <v>100</v>
      </c>
      <c r="T94" s="9" t="s">
        <v>265</v>
      </c>
      <c r="U94" s="29">
        <v>3.0259999999999998</v>
      </c>
      <c r="V94" s="9">
        <v>0.42099999999999999</v>
      </c>
      <c r="W94" s="9">
        <v>8606</v>
      </c>
      <c r="X94" s="9">
        <v>93.8</v>
      </c>
      <c r="Y94" s="9">
        <v>6.9</v>
      </c>
      <c r="AC94" s="9">
        <v>2.56</v>
      </c>
      <c r="AD94" s="9">
        <v>0.35499999999999998</v>
      </c>
      <c r="AE94" s="9">
        <v>50.1</v>
      </c>
      <c r="AF94" s="9">
        <v>2.5470000000000002</v>
      </c>
      <c r="AG94" s="9">
        <v>3.4510000000000001</v>
      </c>
      <c r="AH94" s="9">
        <v>3.2040000000000002</v>
      </c>
    </row>
    <row r="95" spans="1:34">
      <c r="A95" s="1"/>
      <c r="B95" s="1"/>
      <c r="C95" s="1"/>
      <c r="E95" s="1"/>
      <c r="G95" s="2"/>
      <c r="H95" s="9" t="s">
        <v>259</v>
      </c>
      <c r="I95" s="2"/>
      <c r="J95" s="2"/>
      <c r="K95" s="18" t="s">
        <v>246</v>
      </c>
      <c r="L95" s="1" t="s">
        <v>266</v>
      </c>
      <c r="M95" s="24"/>
      <c r="R95" s="10"/>
    </row>
    <row r="96" spans="1:34">
      <c r="A96" s="1" t="s">
        <v>33</v>
      </c>
      <c r="B96" s="1" t="s">
        <v>267</v>
      </c>
      <c r="C96" s="1" t="s">
        <v>267</v>
      </c>
      <c r="D96" s="9" t="s">
        <v>243</v>
      </c>
      <c r="E96" s="1" t="s">
        <v>267</v>
      </c>
      <c r="F96" s="9" t="s">
        <v>249</v>
      </c>
      <c r="G96" s="2"/>
      <c r="H96" s="9" t="s">
        <v>259</v>
      </c>
      <c r="I96" s="2"/>
      <c r="J96" s="2"/>
      <c r="K96" s="18" t="s">
        <v>246</v>
      </c>
      <c r="L96" s="1" t="s">
        <v>267</v>
      </c>
      <c r="M96" s="24" t="s">
        <v>174</v>
      </c>
      <c r="N96" s="9" t="s">
        <v>251</v>
      </c>
      <c r="O96" s="9">
        <f>(5.7+1.2)/(100-90.8)</f>
        <v>0.74999999999999978</v>
      </c>
      <c r="P96" s="9">
        <v>0.25</v>
      </c>
      <c r="Q96" s="9">
        <v>19.23</v>
      </c>
      <c r="R96" s="28" t="s">
        <v>268</v>
      </c>
      <c r="S96" s="9" t="s">
        <v>103</v>
      </c>
      <c r="T96" s="9" t="s">
        <v>269</v>
      </c>
      <c r="U96" s="29">
        <v>1.907</v>
      </c>
      <c r="V96" s="9">
        <v>9.7000000000000003E-2</v>
      </c>
      <c r="W96" s="9">
        <v>9285</v>
      </c>
      <c r="X96" s="9">
        <v>76.599999999999994</v>
      </c>
      <c r="Y96" s="9">
        <v>5.5</v>
      </c>
      <c r="AC96" s="9">
        <v>1.84</v>
      </c>
      <c r="AD96" s="9">
        <v>9.1999999999999998E-2</v>
      </c>
      <c r="AE96" s="9">
        <v>56.1</v>
      </c>
      <c r="AF96" s="9">
        <v>1.7749999999999999</v>
      </c>
      <c r="AG96" s="9">
        <v>1.7749999999999999</v>
      </c>
      <c r="AH96" s="9">
        <v>2.7959999999999998</v>
      </c>
    </row>
    <row r="97" spans="1:34">
      <c r="A97" s="1" t="s">
        <v>33</v>
      </c>
      <c r="B97" s="1" t="s">
        <v>270</v>
      </c>
      <c r="C97" s="1" t="s">
        <v>270</v>
      </c>
      <c r="D97" s="9" t="s">
        <v>243</v>
      </c>
      <c r="E97" s="1" t="s">
        <v>270</v>
      </c>
      <c r="F97" s="9" t="s">
        <v>249</v>
      </c>
      <c r="G97" s="2"/>
      <c r="H97" s="9" t="s">
        <v>259</v>
      </c>
      <c r="I97" s="2"/>
      <c r="J97" s="2"/>
      <c r="K97" s="18" t="s">
        <v>246</v>
      </c>
      <c r="L97" s="1" t="s">
        <v>270</v>
      </c>
      <c r="M97" s="24" t="s">
        <v>174</v>
      </c>
      <c r="N97" s="9" t="s">
        <v>251</v>
      </c>
      <c r="O97" s="9">
        <f>(2)/(100-95.9)</f>
        <v>0.48780487804878114</v>
      </c>
      <c r="P97" s="9">
        <v>0.3</v>
      </c>
      <c r="Q97" s="9">
        <v>20.059999999999999</v>
      </c>
      <c r="R97" s="28" t="s">
        <v>271</v>
      </c>
      <c r="S97" s="9" t="s">
        <v>70</v>
      </c>
      <c r="T97" s="9" t="s">
        <v>272</v>
      </c>
      <c r="U97" s="29">
        <v>2.129</v>
      </c>
      <c r="V97" s="9">
        <v>0.191</v>
      </c>
      <c r="W97" s="9">
        <v>8338</v>
      </c>
      <c r="X97" s="9">
        <v>95.2</v>
      </c>
      <c r="Y97" s="9">
        <v>7.4</v>
      </c>
      <c r="AC97" s="9">
        <v>2.1240000000000001</v>
      </c>
      <c r="AD97" s="9">
        <v>0.16700000000000001</v>
      </c>
      <c r="AE97" s="9">
        <v>82.3</v>
      </c>
      <c r="AF97" s="9">
        <v>2.1120000000000001</v>
      </c>
      <c r="AG97" s="9">
        <v>2.1120000000000001</v>
      </c>
      <c r="AH97" s="9">
        <v>2.306</v>
      </c>
    </row>
    <row r="98" spans="1:34">
      <c r="A98" s="1" t="s">
        <v>33</v>
      </c>
      <c r="B98" s="1" t="s">
        <v>273</v>
      </c>
      <c r="C98" s="1" t="s">
        <v>273</v>
      </c>
      <c r="D98" s="9" t="s">
        <v>243</v>
      </c>
      <c r="E98" s="1" t="s">
        <v>273</v>
      </c>
      <c r="F98" s="9" t="s">
        <v>249</v>
      </c>
      <c r="G98" s="2"/>
      <c r="H98" s="9" t="s">
        <v>259</v>
      </c>
      <c r="I98" s="2"/>
      <c r="J98" s="2"/>
      <c r="K98" s="18" t="s">
        <v>246</v>
      </c>
      <c r="L98" s="1" t="s">
        <v>273</v>
      </c>
      <c r="R98" s="10"/>
    </row>
    <row r="99" spans="1:34">
      <c r="A99" s="1" t="s">
        <v>33</v>
      </c>
      <c r="B99" s="1" t="s">
        <v>274</v>
      </c>
      <c r="C99" s="1" t="s">
        <v>274</v>
      </c>
      <c r="D99" s="9" t="s">
        <v>243</v>
      </c>
      <c r="E99" s="1" t="s">
        <v>274</v>
      </c>
      <c r="F99" s="9" t="s">
        <v>249</v>
      </c>
      <c r="G99" s="2"/>
      <c r="H99" s="9" t="s">
        <v>259</v>
      </c>
      <c r="I99" s="3"/>
      <c r="J99" s="3"/>
      <c r="K99" s="18" t="s">
        <v>246</v>
      </c>
      <c r="L99" s="1" t="s">
        <v>274</v>
      </c>
      <c r="M99" s="24" t="s">
        <v>174</v>
      </c>
      <c r="N99" s="9" t="s">
        <v>251</v>
      </c>
      <c r="O99" s="9">
        <f>(46.5)/(100-42.3)</f>
        <v>0.80589254766031193</v>
      </c>
      <c r="P99" s="9">
        <v>0.18</v>
      </c>
      <c r="Q99" s="9">
        <v>23.98</v>
      </c>
      <c r="R99" s="28" t="s">
        <v>275</v>
      </c>
      <c r="S99" s="9" t="s">
        <v>70</v>
      </c>
      <c r="T99" s="9" t="s">
        <v>276</v>
      </c>
      <c r="U99" s="29">
        <v>2.3540000000000001</v>
      </c>
      <c r="V99" s="9">
        <v>0.10299999999999999</v>
      </c>
      <c r="W99" s="9">
        <v>6129</v>
      </c>
      <c r="X99" s="9">
        <v>95</v>
      </c>
      <c r="Y99" s="9">
        <v>3.4</v>
      </c>
      <c r="AC99" s="9">
        <v>2.2650000000000001</v>
      </c>
      <c r="AD99" s="9">
        <v>9.2999999999999999E-2</v>
      </c>
      <c r="AE99" s="9">
        <v>72.5</v>
      </c>
      <c r="AF99" s="9">
        <v>2.2650000000000001</v>
      </c>
      <c r="AG99" s="9">
        <v>2.2650000000000001</v>
      </c>
      <c r="AH99" s="9">
        <v>2.7429999999999999</v>
      </c>
    </row>
    <row r="100" spans="1:34">
      <c r="A100" s="6" t="s">
        <v>33</v>
      </c>
      <c r="B100" s="6" t="s">
        <v>277</v>
      </c>
      <c r="C100" s="6" t="s">
        <v>277</v>
      </c>
      <c r="D100" s="14" t="s">
        <v>243</v>
      </c>
      <c r="E100" s="6" t="s">
        <v>277</v>
      </c>
      <c r="F100" s="14" t="s">
        <v>249</v>
      </c>
      <c r="G100" s="7"/>
      <c r="H100" s="14" t="s">
        <v>259</v>
      </c>
      <c r="I100" s="8"/>
      <c r="J100" s="8"/>
      <c r="K100" s="20" t="s">
        <v>246</v>
      </c>
      <c r="L100" s="6" t="s">
        <v>277</v>
      </c>
      <c r="M100" s="24" t="s">
        <v>174</v>
      </c>
      <c r="N100" s="9" t="s">
        <v>260</v>
      </c>
      <c r="O100" s="9">
        <f>(21)/(100-68.6)</f>
        <v>0.6687898089171973</v>
      </c>
      <c r="P100" s="9">
        <v>0.2</v>
      </c>
      <c r="Q100" s="9">
        <v>22.14</v>
      </c>
      <c r="R100" s="28" t="s">
        <v>278</v>
      </c>
      <c r="S100" s="9" t="s">
        <v>70</v>
      </c>
      <c r="T100" s="9" t="s">
        <v>279</v>
      </c>
      <c r="U100" s="29">
        <v>1.7969999999999999</v>
      </c>
      <c r="V100" s="9">
        <v>7.3999999999999996E-2</v>
      </c>
      <c r="W100" s="9">
        <v>13183</v>
      </c>
      <c r="X100" s="9">
        <v>92.8</v>
      </c>
      <c r="Y100" s="9">
        <v>5.6</v>
      </c>
      <c r="AC100" s="9">
        <v>1.804</v>
      </c>
      <c r="AD100" s="9">
        <v>6.8000000000000005E-2</v>
      </c>
      <c r="AE100" s="9">
        <v>73.099999999999994</v>
      </c>
      <c r="AF100" s="9">
        <v>1.7949999999999999</v>
      </c>
      <c r="AG100" s="9">
        <v>1.7949999999999999</v>
      </c>
      <c r="AH100" s="9">
        <v>2.1909999999999998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0ca8f2-e6e7-4e31-8531-a227737efe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3D05691D733F49B02219D6E4ED2B6E" ma:contentTypeVersion="18" ma:contentTypeDescription="Create a new document." ma:contentTypeScope="" ma:versionID="c1fb4b0fbaf26081a20b2a1f0891ec4f">
  <xsd:schema xmlns:xsd="http://www.w3.org/2001/XMLSchema" xmlns:xs="http://www.w3.org/2001/XMLSchema" xmlns:p="http://schemas.microsoft.com/office/2006/metadata/properties" xmlns:ns3="3f0ca8f2-e6e7-4e31-8531-a227737efee8" xmlns:ns4="df57c29c-2135-4498-aeae-25747b1bfed5" targetNamespace="http://schemas.microsoft.com/office/2006/metadata/properties" ma:root="true" ma:fieldsID="8117dd49de47fe9ce46241c7389c1da1" ns3:_="" ns4:_="">
    <xsd:import namespace="3f0ca8f2-e6e7-4e31-8531-a227737efee8"/>
    <xsd:import namespace="df57c29c-2135-4498-aeae-25747b1bfed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ca8f2-e6e7-4e31-8531-a227737ef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7c29c-2135-4498-aeae-25747b1bfed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02DF38-FE8A-4B4A-840D-9029582A689F}"/>
</file>

<file path=customXml/itemProps2.xml><?xml version="1.0" encoding="utf-8"?>
<ds:datastoreItem xmlns:ds="http://schemas.openxmlformats.org/officeDocument/2006/customXml" ds:itemID="{49F49C76-E81B-469F-9612-1200BE8276EA}"/>
</file>

<file path=customXml/itemProps3.xml><?xml version="1.0" encoding="utf-8"?>
<ds:datastoreItem xmlns:ds="http://schemas.openxmlformats.org/officeDocument/2006/customXml" ds:itemID="{9AFEB01D-B39F-4341-8A76-5D994D4645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Brigham Young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Pedroza Romo</dc:creator>
  <cp:keywords/>
  <dc:description/>
  <cp:lastModifiedBy>David Bennett</cp:lastModifiedBy>
  <cp:revision/>
  <dcterms:created xsi:type="dcterms:W3CDTF">2024-02-14T18:40:33Z</dcterms:created>
  <dcterms:modified xsi:type="dcterms:W3CDTF">2026-07-13T18:55:06Z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0x010100B33D05691D733F49B02219D6E4ED2B6E</vt:lpwstr>
  </property>
</Properties>
</file>