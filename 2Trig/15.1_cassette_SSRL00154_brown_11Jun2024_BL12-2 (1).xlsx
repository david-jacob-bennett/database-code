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pedrom01\OneDrive - Brigham Young University\Desktop\"/>
    </mc:Choice>
  </mc:AlternateContent>
  <xr:revisionPtr revIDLastSave="521" documentId="8_{33C6039A-E64C-4820-9DF2-A192FDD8DD96}" xr6:coauthVersionLast="47" xr6:coauthVersionMax="47" xr10:uidLastSave="{0FD13FB4-465A-4644-8977-1AE343625780}"/>
  <bookViews>
    <workbookView xWindow="25080" yWindow="-120" windowWidth="25440" windowHeight="15270" xr2:uid="{516B200E-035C-46AE-9D44-4BBC62D002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O70" i="1"/>
  <c r="O69" i="1"/>
  <c r="O68" i="1"/>
  <c r="O96" i="1"/>
  <c r="O28" i="1"/>
  <c r="O19" i="1"/>
  <c r="O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tc={B4AB1DD7-DEF2-4D8E-8429-54BACF16C13F}</author>
  </authors>
  <commentList>
    <comment ref="D86" authorId="0" shapeId="0" xr:uid="{B4AB1DD7-DEF2-4D8E-8429-54BACF16C13F}">
      <text>
        <t>[Threaded comment]
Your version of Excel allows you to read this threaded comment; however, any edits to it will get removed if the file is opened in a newer version of Excel. Learn more: https://go.microsoft.com/fwlink/?linkid=870924
Comment:
    K1-L2 are mislabeled. They are actually 1TEL-GG-UBA</t>
      </text>
    </comment>
  </commentList>
</comments>
</file>

<file path=xl/sharedStrings.xml><?xml version="1.0" encoding="utf-8"?>
<sst xmlns="http://schemas.openxmlformats.org/spreadsheetml/2006/main" count="1035" uniqueCount="277">
  <si>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</si>
  <si>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</si>
  <si>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</si>
  <si>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</si>
  <si>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</si>
  <si>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</si>
  <si>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</si>
  <si>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</si>
  <si>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</si>
  <si>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</si>
  <si>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</si>
  <si>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</si>
  <si>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</si>
  <si>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</si>
  <si>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</si>
  <si>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</si>
  <si>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</si>
  <si>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</si>
  <si>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</si>
  <si>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</si>
  <si>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</si>
  <si>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</si>
  <si>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</si>
  <si>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</si>
  <si>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LLG</t>
  </si>
  <si>
    <t>TFZ</t>
  </si>
  <si>
    <t>fit to dens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</si>
  <si>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</si>
  <si>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</si>
  <si>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</si>
  <si>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</si>
  <si>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</si>
  <si>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</si>
  <si>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UNKOWN</t>
  </si>
  <si>
    <t>A1</t>
  </si>
  <si>
    <t>His-2TEL-TV-vWA 18 mg/ml 2/29/24</t>
  </si>
  <si>
    <t>Needles - 8 Microns</t>
  </si>
  <si>
    <t>Salt Rx F8</t>
  </si>
  <si>
    <t>Prasadika</t>
  </si>
  <si>
    <t>icy</t>
  </si>
  <si>
    <t>A2</t>
  </si>
  <si>
    <t>Rod - 8 Microns</t>
  </si>
  <si>
    <t>A3</t>
  </si>
  <si>
    <t>Globe- 96 Microns</t>
  </si>
  <si>
    <t>very icy</t>
  </si>
  <si>
    <t>A4</t>
  </si>
  <si>
    <t>ice, no diffraction</t>
  </si>
  <si>
    <t>A5</t>
  </si>
  <si>
    <t>A6</t>
  </si>
  <si>
    <t>A7</t>
  </si>
  <si>
    <t>His-SUMO-3TEL-TV-vWA 6 mg/ml 2/29/24</t>
  </si>
  <si>
    <t>Needles - 16 Microns</t>
  </si>
  <si>
    <t>Peg Custom A6</t>
  </si>
  <si>
    <t>icy, some diffraction</t>
  </si>
  <si>
    <t>A8</t>
  </si>
  <si>
    <t xml:space="preserve">2TEL-GG-UBA </t>
  </si>
  <si>
    <t>feather/blade</t>
  </si>
  <si>
    <t>PEGION H9 6mg/mL</t>
  </si>
  <si>
    <t>3A, collected?</t>
  </si>
  <si>
    <t>failed</t>
  </si>
  <si>
    <t>B1</t>
  </si>
  <si>
    <t xml:space="preserve"> </t>
  </si>
  <si>
    <t>B2</t>
  </si>
  <si>
    <t>collected, 2.7 A, 2.2 xds</t>
  </si>
  <si>
    <t>smeary/good</t>
  </si>
  <si>
    <t>none</t>
  </si>
  <si>
    <t>P61</t>
  </si>
  <si>
    <t>103.798 103.798 50.111 90.0 90.0 120.0</t>
  </si>
  <si>
    <t>B3</t>
  </si>
  <si>
    <t>icy, no diffraction</t>
  </si>
  <si>
    <t>B4</t>
  </si>
  <si>
    <t>needles</t>
  </si>
  <si>
    <t>PEGION E5 6mg/mL</t>
  </si>
  <si>
    <t>B5</t>
  </si>
  <si>
    <t>no diffraction</t>
  </si>
  <si>
    <t>B6</t>
  </si>
  <si>
    <t>collected, 2.1 A, crashed in the middle, xds failed</t>
  </si>
  <si>
    <t>collected, 2.0 A, xds failed</t>
  </si>
  <si>
    <t>B7</t>
  </si>
  <si>
    <t>empty</t>
  </si>
  <si>
    <t>B8</t>
  </si>
  <si>
    <t>HIS-1TEL-vWA 2/7/2024 - PG</t>
  </si>
  <si>
    <t>PLATES,0.3</t>
  </si>
  <si>
    <t>C3,INDEX C4 Condition,</t>
  </si>
  <si>
    <t>C1</t>
  </si>
  <si>
    <t>collected, 2.5 A, 1.9 A xds</t>
  </si>
  <si>
    <t>smeary</t>
  </si>
  <si>
    <t>P63</t>
  </si>
  <si>
    <t>101.047 101.047 49.665 90.0 90.0 120.0</t>
  </si>
  <si>
    <t>C2</t>
  </si>
  <si>
    <t>SUMO-3TEL-UBA</t>
  </si>
  <si>
    <t>PEG CUSTOM A2-3 3mg/ml</t>
  </si>
  <si>
    <t>no diffraction,thin needle</t>
  </si>
  <si>
    <t>.</t>
  </si>
  <si>
    <t>C3</t>
  </si>
  <si>
    <t>C4</t>
  </si>
  <si>
    <t>C5</t>
  </si>
  <si>
    <t>C6</t>
  </si>
  <si>
    <t xml:space="preserve">HIS-3TEL-UBA </t>
  </si>
  <si>
    <t>rods</t>
  </si>
  <si>
    <t>SALT RX D3 6MG/ML</t>
  </si>
  <si>
    <t>icy, some diffraction at 4A</t>
  </si>
  <si>
    <t>C7</t>
  </si>
  <si>
    <t xml:space="preserve"> HIS-3TEL-UBA </t>
  </si>
  <si>
    <t>some ice, collected, 4A, 4.0 A xds</t>
  </si>
  <si>
    <t>500-1100</t>
  </si>
  <si>
    <t>139.5547 139.5547 54.4542 90.0 90.0 120.0</t>
  </si>
  <si>
    <t>rescaling P65</t>
  </si>
  <si>
    <t>C8</t>
  </si>
  <si>
    <t>D1</t>
  </si>
  <si>
    <t>collected, 2.0 A, 2.3 A xds</t>
  </si>
  <si>
    <t>139.923 55.082 139.718 90.000 120.013 90.000</t>
  </si>
  <si>
    <t>D1-1</t>
  </si>
  <si>
    <t>Collected</t>
  </si>
  <si>
    <t>D2</t>
  </si>
  <si>
    <t>3.9 A, super smeary</t>
  </si>
  <si>
    <t>Moody Started 9:45 PM</t>
  </si>
  <si>
    <t>D3</t>
  </si>
  <si>
    <t>4.0 A, super smeary</t>
  </si>
  <si>
    <t>D4</t>
  </si>
  <si>
    <t>SALT RX D2 6MG/ML</t>
  </si>
  <si>
    <t>D5</t>
  </si>
  <si>
    <t>D6</t>
  </si>
  <si>
    <t>port jam</t>
  </si>
  <si>
    <t>D7</t>
  </si>
  <si>
    <t>4.9 A, super smeary</t>
  </si>
  <si>
    <t>D8</t>
  </si>
  <si>
    <t>7.7 A, super smeary</t>
  </si>
  <si>
    <t>E1</t>
  </si>
  <si>
    <t>5.1 A, super smeary</t>
  </si>
  <si>
    <t>E2</t>
  </si>
  <si>
    <t>SALT RX D1 6MG/ML</t>
  </si>
  <si>
    <t>loop missing</t>
  </si>
  <si>
    <t>E3</t>
  </si>
  <si>
    <t>no diffraction, 15x80 um xtal</t>
  </si>
  <si>
    <t>E4</t>
  </si>
  <si>
    <t>empty loop</t>
  </si>
  <si>
    <t>E5</t>
  </si>
  <si>
    <t>bad ice, no diffraction</t>
  </si>
  <si>
    <t>E6</t>
  </si>
  <si>
    <t>E7</t>
  </si>
  <si>
    <t>E8</t>
  </si>
  <si>
    <t>F1</t>
  </si>
  <si>
    <t>HIS-1TEL-vWA 2/7/2024 - MTHB</t>
  </si>
  <si>
    <t>Hexagonal Plate, 0.3 loop</t>
  </si>
  <si>
    <t>INDEX C4 Condition, A1 Well</t>
  </si>
  <si>
    <t>Dr Moody</t>
  </si>
  <si>
    <t>2.1 A, Collected</t>
  </si>
  <si>
    <t>Wisdom started</t>
  </si>
  <si>
    <t>F2</t>
  </si>
  <si>
    <t>HIS-1TEL-vWA 2/7/2024 - MDHB</t>
  </si>
  <si>
    <t>Hexagonal Cylinder, 0.3 loop</t>
  </si>
  <si>
    <t>INDEX C4 Condition, C4 Well</t>
  </si>
  <si>
    <t>F3</t>
  </si>
  <si>
    <t>Rod, 0.3 loop</t>
  </si>
  <si>
    <t>multiple crystals, no diffraction</t>
  </si>
  <si>
    <t>F4</t>
  </si>
  <si>
    <t>F5</t>
  </si>
  <si>
    <t>Blob, 0.3 loop</t>
  </si>
  <si>
    <t>F6</t>
  </si>
  <si>
    <t>needle, 0.3 loop</t>
  </si>
  <si>
    <t>PEG CUS B2 2mg/ml</t>
  </si>
  <si>
    <t>multiple microcrystals, no diffraction</t>
  </si>
  <si>
    <t>F7</t>
  </si>
  <si>
    <t>F8</t>
  </si>
  <si>
    <t>His-SUMO-2TEL-TV-vWA 10 mg/ml 2/29/24</t>
  </si>
  <si>
    <t>Short Rods 24 Microns</t>
  </si>
  <si>
    <t>Peg Custom A7</t>
  </si>
  <si>
    <t>icy, no crystal?</t>
  </si>
  <si>
    <t>G1</t>
  </si>
  <si>
    <t>super smeary, no diffraction</t>
  </si>
  <si>
    <t>G2</t>
  </si>
  <si>
    <t>tiny crystal</t>
  </si>
  <si>
    <t>G3</t>
  </si>
  <si>
    <t>many tiny crystals, no diffraction</t>
  </si>
  <si>
    <t>G4</t>
  </si>
  <si>
    <t>G5</t>
  </si>
  <si>
    <t>SUMO 1TEL-PA-DARPin</t>
  </si>
  <si>
    <t>planks</t>
  </si>
  <si>
    <t>Salt RX H5 9mg/ml</t>
  </si>
  <si>
    <t>Jacob</t>
  </si>
  <si>
    <t>G6</t>
  </si>
  <si>
    <t>G7</t>
  </si>
  <si>
    <t>thin rod</t>
  </si>
  <si>
    <t>Salt RX H8 18mg/ml</t>
  </si>
  <si>
    <t>Maria</t>
  </si>
  <si>
    <t>3.2 A, collected</t>
  </si>
  <si>
    <t>G8</t>
  </si>
  <si>
    <t>icy, 4.1?</t>
  </si>
  <si>
    <t>H1</t>
  </si>
  <si>
    <t>2.0 A, collected</t>
  </si>
  <si>
    <t>H2</t>
  </si>
  <si>
    <t>H3</t>
  </si>
  <si>
    <t>?</t>
  </si>
  <si>
    <t>H4</t>
  </si>
  <si>
    <t>collected</t>
  </si>
  <si>
    <t>H5</t>
  </si>
  <si>
    <t>H6</t>
  </si>
  <si>
    <t>collected - failed xds</t>
  </si>
  <si>
    <t>H6-2</t>
  </si>
  <si>
    <t>H7</t>
  </si>
  <si>
    <t>collected - successfull (2.1 A)</t>
  </si>
  <si>
    <t>MR is similar to H1 solution</t>
  </si>
  <si>
    <t>P21</t>
  </si>
  <si>
    <t>98.047 45.683 98.018 90.000 119.967 90.000</t>
  </si>
  <si>
    <t>H8</t>
  </si>
  <si>
    <t>collected (1.6 A)</t>
  </si>
  <si>
    <t>good</t>
  </si>
  <si>
    <t>97.986 97.986 45.824 90.0 90.0 120.0</t>
  </si>
  <si>
    <t>I1</t>
  </si>
  <si>
    <r>
      <rPr>
        <sz val="10"/>
        <color rgb="FF000000"/>
        <rFont val="Arial"/>
      </rPr>
      <t>SUMO 1TEL-PA-DARPin</t>
    </r>
    <r>
      <rPr>
        <b/>
        <sz val="10"/>
        <color rgb="FF000000"/>
        <rFont val="Arial"/>
      </rPr>
      <t xml:space="preserve"> (9DB5)</t>
    </r>
  </si>
  <si>
    <t>collected (1.5 A)</t>
  </si>
  <si>
    <t xml:space="preserve">MR is similar to </t>
  </si>
  <si>
    <t>97.730 97.730 45.816 90.0 90.0 120.0</t>
  </si>
  <si>
    <t>I2</t>
  </si>
  <si>
    <t>SUMO 1TEL-GG-DARPin</t>
  </si>
  <si>
    <t>short barrels</t>
  </si>
  <si>
    <t>PEG Cust. C7 9mg/ml</t>
  </si>
  <si>
    <t>I3</t>
  </si>
  <si>
    <t>I4</t>
  </si>
  <si>
    <t>rectangle</t>
  </si>
  <si>
    <t>PEG Cust. F4 9mg/ml</t>
  </si>
  <si>
    <t>I5</t>
  </si>
  <si>
    <t>I6</t>
  </si>
  <si>
    <t>I7</t>
  </si>
  <si>
    <t>I8</t>
  </si>
  <si>
    <t>J1</t>
  </si>
  <si>
    <t>SUMO 1TEL-PAA-DARPin</t>
  </si>
  <si>
    <t>PEG Ion A11 1mg/ml</t>
  </si>
  <si>
    <t>J2</t>
  </si>
  <si>
    <t>needle fan</t>
  </si>
  <si>
    <t>PEG Ion G1 9mg/ml</t>
  </si>
  <si>
    <t>J3</t>
  </si>
  <si>
    <t>7.1 A, collected</t>
  </si>
  <si>
    <t>failed scaling</t>
  </si>
  <si>
    <t>J4</t>
  </si>
  <si>
    <t>8.2 A, collected</t>
  </si>
  <si>
    <t>J5</t>
  </si>
  <si>
    <t>weak diffraction</t>
  </si>
  <si>
    <t>J6</t>
  </si>
  <si>
    <t>J7</t>
  </si>
  <si>
    <t>J8</t>
  </si>
  <si>
    <t>K1</t>
  </si>
  <si>
    <t>1TEL-PA-UBA</t>
  </si>
  <si>
    <t>Long Rice</t>
  </si>
  <si>
    <t>PEG Ion F9 1?mg/ml</t>
  </si>
  <si>
    <t>K2</t>
  </si>
  <si>
    <t>K3</t>
  </si>
  <si>
    <t>Icy, 4.6 A, Collected?</t>
  </si>
  <si>
    <t>error indexing</t>
  </si>
  <si>
    <t>K4</t>
  </si>
  <si>
    <t>Maria started</t>
  </si>
  <si>
    <t>K5</t>
  </si>
  <si>
    <t>collected icy, 2.5 A</t>
  </si>
  <si>
    <t>K6</t>
  </si>
  <si>
    <t>K7</t>
  </si>
  <si>
    <t>Blake</t>
  </si>
  <si>
    <t>K8</t>
  </si>
  <si>
    <t>PEG Ion B9 1?mg/ml</t>
  </si>
  <si>
    <t>collected, icy, 2.8 A</t>
  </si>
  <si>
    <t>L1</t>
  </si>
  <si>
    <t>L2</t>
  </si>
  <si>
    <t>L3</t>
  </si>
  <si>
    <t>prasadika</t>
  </si>
  <si>
    <t>collected 2.5 A</t>
  </si>
  <si>
    <t>101.227 101.227 49.520 90.0 90.0 120.0</t>
  </si>
  <si>
    <t>15-</t>
  </si>
  <si>
    <t>L4</t>
  </si>
  <si>
    <t>twinned/mosaic</t>
  </si>
  <si>
    <t>very smeary</t>
  </si>
  <si>
    <t>L5</t>
  </si>
  <si>
    <t>smeary, 3A</t>
  </si>
  <si>
    <t>L6</t>
  </si>
  <si>
    <t>very smeary, 3.3 A</t>
  </si>
  <si>
    <t>L7</t>
  </si>
  <si>
    <t>no crystal, no diffraction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</si>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</sst>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0" applyFont="1" applyAlignment="1">
      <alignment horizontal="center"/>
    </xf>
    <xf numFmtId="164" fontId="1" fillId="0" borderId="2" xfId="1" applyNumberFormat="1" applyBorder="1" applyAlignment="1">
      <alignment horizontal="center"/>
    </xf>
    <xf numFmtId="49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49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64" fontId="1" fillId="0" borderId="3" xfId="1" applyNumberForma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49" fontId="1" fillId="0" borderId="4" xfId="1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4" xfId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49" fontId="5" fillId="3" borderId="0" xfId="1" applyNumberFormat="1" applyFont="1" applyFill="1" applyAlignment="1">
      <alignment horizontal="center" textRotation="90" wrapText="1"/>
    </xf>
    <xf numFmtId="49" fontId="5" fillId="3" borderId="1" xfId="1" applyNumberFormat="1" applyFont="1" applyFill="1" applyBorder="1" applyAlignment="1">
      <alignment horizontal="center" textRotation="90" wrapText="1"/>
    </xf>
    <xf numFmtId="0" fontId="6" fillId="0" borderId="0" xfId="0" applyFont="1" applyAlignment="1">
      <alignment horizontal="center" textRotation="90" wrapText="1"/>
    </xf>
    <xf numFmtId="18" fontId="2" fillId="0" borderId="0" xfId="0" applyNumberFormat="1" applyFont="1" applyAlignment="1">
      <alignment horizontal="center"/>
    </xf>
    <xf numFmtId="164" fontId="1" fillId="4" borderId="3" xfId="1" applyNumberFormat="1" applyFill="1" applyBorder="1" applyAlignment="1">
      <alignment horizontal="center"/>
    </xf>
    <xf numFmtId="49" fontId="1" fillId="4" borderId="3" xfId="1" applyNumberForma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" fillId="4" borderId="3" xfId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3" xfId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4" fontId="2" fillId="4" borderId="0" xfId="0" applyNumberFormat="1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/>
    </xf>
    <xf numFmtId="164" fontId="1" fillId="2" borderId="3" xfId="1" applyNumberForma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 textRotation="90" wrapText="1"/>
    </xf>
    <xf numFmtId="0" fontId="2" fillId="6" borderId="0" xfId="0" applyFont="1" applyFill="1" applyAlignment="1">
      <alignment horizontal="center"/>
    </xf>
    <xf numFmtId="164" fontId="1" fillId="7" borderId="3" xfId="1" applyNumberFormat="1" applyFill="1" applyBorder="1" applyAlignment="1">
      <alignment horizontal="center"/>
    </xf>
    <xf numFmtId="49" fontId="1" fillId="7" borderId="3" xfId="1" applyNumberForma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7" borderId="3" xfId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14" fontId="2" fillId="7" borderId="0" xfId="0" applyNumberFormat="1" applyFont="1" applyFill="1" applyAlignment="1">
      <alignment horizontal="center"/>
    </xf>
    <xf numFmtId="49" fontId="1" fillId="6" borderId="3" xfId="1" applyNumberFormat="1" applyFill="1" applyBorder="1" applyAlignment="1">
      <alignment horizontal="center"/>
    </xf>
  </cellXfs>
  <cellStyles count="2">
    <cellStyle name="Normal" xfId="0" builtinId="0"/>
    <cellStyle name="Normal 2" xfId="1" xr:uid="{38F1AF1B-A5FB-4707-9BAB-8BC0043793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jah Walker Wilson" id="{67DD9BA6-3274-45BA-A640-14120C7EFC8E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6" dT="2025-10-13T18:22:54.56" personId="{67DD9BA6-3274-45BA-A640-14120C7EFC8E}" id="{B4AB1DD7-DEF2-4D8E-8429-54BACF16C13F}">
    <text>K1-L2 are mislabeled. They are actually 1TEL-GG-UBA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D9D8-FB70-42D9-8635-7C4468A990E4}">
  <dimension ref="A1:AH101"/>
  <sheetViews>
    <sheetView tabSelected="1" workbookViewId="0">
      <pane ySplit="1" topLeftCell="A78" activePane="bottomLeft" state="frozen"/>
      <selection pane="bottomLeft" activeCell="M1" sqref="M1"/>
    </sheetView>
  </sheetViews>
  <sheetFormatPr defaultRowHeight="12.75"/>
  <cols>
    <col min="1" max="1" width="10.5703125" style="1" customWidth="1"/>
    <col min="2" max="2" width="4.42578125" style="1" customWidth="1"/>
    <col min="3" max="3" width="8.5703125" style="1" customWidth="1"/>
    <col min="4" max="4" width="37" style="1" bestFit="1" customWidth="1"/>
    <col min="5" max="5" width="8.42578125" style="1" customWidth="1"/>
    <col min="6" max="6" width="25.42578125" style="1" customWidth="1"/>
    <col min="7" max="7" width="2.7109375" style="1" customWidth="1"/>
    <col min="8" max="8" width="29.85546875" style="1" customWidth="1"/>
    <col min="9" max="9" width="5.5703125" style="1" customWidth="1"/>
    <col min="10" max="10" width="5.28515625" style="1" customWidth="1"/>
    <col min="11" max="11" width="10.28515625" style="9" bestFit="1" customWidth="1"/>
    <col min="12" max="12" width="8.42578125" style="1" bestFit="1" customWidth="1"/>
    <col min="13" max="13" width="30.42578125" style="1" customWidth="1"/>
    <col min="14" max="14" width="21" style="1" customWidth="1"/>
    <col min="15" max="15" width="26.7109375" style="1" customWidth="1"/>
    <col min="16" max="16" width="21.85546875" style="1" customWidth="1"/>
    <col min="17" max="17" width="25.7109375" style="1" customWidth="1"/>
    <col min="18" max="18" width="28.140625" style="1" customWidth="1"/>
    <col min="19" max="19" width="27.85546875" style="1" customWidth="1"/>
    <col min="20" max="20" width="50.7109375" style="1" customWidth="1"/>
    <col min="21" max="21" width="30.28515625" style="46" customWidth="1"/>
    <col min="22" max="22" width="25.140625" style="1" customWidth="1"/>
    <col min="23" max="23" width="27.42578125" style="1" customWidth="1"/>
    <col min="24" max="24" width="27.5703125" style="1" customWidth="1"/>
    <col min="25" max="25" width="27.7109375" style="1" customWidth="1"/>
    <col min="26" max="28" width="9.140625" style="1"/>
    <col min="29" max="29" width="27.28515625" style="1" customWidth="1"/>
    <col min="30" max="30" width="33.28515625" style="1" customWidth="1"/>
    <col min="31" max="31" width="28.7109375" style="1" customWidth="1"/>
    <col min="32" max="32" width="15" style="1" customWidth="1"/>
    <col min="33" max="33" width="17.28515625" style="1" customWidth="1"/>
    <col min="34" max="34" width="18" style="1" customWidth="1"/>
    <col min="35" max="16384" width="9.140625" style="1"/>
  </cols>
  <sheetData>
    <row r="1" spans="1:34" s="25" customFormat="1" ht="62.25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3" t="s">
        <v>4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4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</row>
    <row r="2" spans="1:34">
      <c r="A2" s="2" t="s">
        <v>33</v>
      </c>
      <c r="B2" s="3" t="s">
        <v>34</v>
      </c>
      <c r="C2" s="3" t="s">
        <v>34</v>
      </c>
      <c r="D2" s="3" t="s">
        <v>35</v>
      </c>
      <c r="E2" s="3" t="s">
        <v>34</v>
      </c>
      <c r="F2" s="3" t="s">
        <v>36</v>
      </c>
      <c r="G2" s="4"/>
      <c r="H2" s="4" t="s">
        <v>37</v>
      </c>
      <c r="I2" s="4"/>
      <c r="J2" s="4"/>
      <c r="K2" s="5" t="s">
        <v>38</v>
      </c>
      <c r="L2" s="3" t="s">
        <v>34</v>
      </c>
      <c r="M2" s="1" t="s">
        <v>39</v>
      </c>
    </row>
    <row r="3" spans="1:34">
      <c r="A3" s="6" t="s">
        <v>33</v>
      </c>
      <c r="B3" s="6" t="s">
        <v>40</v>
      </c>
      <c r="C3" s="6" t="s">
        <v>40</v>
      </c>
      <c r="D3" s="1" t="s">
        <v>35</v>
      </c>
      <c r="E3" s="6" t="s">
        <v>40</v>
      </c>
      <c r="F3" s="1" t="s">
        <v>41</v>
      </c>
      <c r="G3" s="7"/>
      <c r="H3" s="1" t="s">
        <v>37</v>
      </c>
      <c r="I3" s="8"/>
      <c r="J3" s="8"/>
      <c r="K3" s="9" t="s">
        <v>38</v>
      </c>
      <c r="L3" s="6" t="s">
        <v>40</v>
      </c>
      <c r="M3" s="1" t="s">
        <v>39</v>
      </c>
      <c r="R3" s="10"/>
    </row>
    <row r="4" spans="1:34">
      <c r="A4" s="6" t="s">
        <v>33</v>
      </c>
      <c r="B4" s="6" t="s">
        <v>42</v>
      </c>
      <c r="C4" s="6" t="s">
        <v>42</v>
      </c>
      <c r="D4" s="1" t="s">
        <v>35</v>
      </c>
      <c r="E4" s="6" t="s">
        <v>42</v>
      </c>
      <c r="F4" s="1" t="s">
        <v>43</v>
      </c>
      <c r="G4" s="7"/>
      <c r="H4" s="1" t="s">
        <v>37</v>
      </c>
      <c r="I4" s="7"/>
      <c r="J4" s="7"/>
      <c r="K4" s="9" t="s">
        <v>38</v>
      </c>
      <c r="L4" s="6" t="s">
        <v>42</v>
      </c>
      <c r="M4" s="1" t="s">
        <v>44</v>
      </c>
      <c r="R4" s="10"/>
    </row>
    <row r="5" spans="1:34">
      <c r="A5" s="6" t="s">
        <v>33</v>
      </c>
      <c r="B5" s="6" t="s">
        <v>45</v>
      </c>
      <c r="C5" s="6" t="s">
        <v>45</v>
      </c>
      <c r="D5" s="1" t="s">
        <v>35</v>
      </c>
      <c r="E5" s="6" t="s">
        <v>45</v>
      </c>
      <c r="F5" s="1" t="s">
        <v>41</v>
      </c>
      <c r="G5" s="7"/>
      <c r="H5" s="1" t="s">
        <v>37</v>
      </c>
      <c r="I5" s="7"/>
      <c r="J5" s="7"/>
      <c r="K5" s="9" t="s">
        <v>38</v>
      </c>
      <c r="L5" s="6" t="s">
        <v>45</v>
      </c>
      <c r="M5" s="1" t="s">
        <v>46</v>
      </c>
      <c r="R5" s="10"/>
    </row>
    <row r="6" spans="1:34">
      <c r="A6" s="6" t="s">
        <v>33</v>
      </c>
      <c r="B6" s="6" t="s">
        <v>47</v>
      </c>
      <c r="C6" s="6" t="s">
        <v>47</v>
      </c>
      <c r="D6" s="1" t="s">
        <v>35</v>
      </c>
      <c r="E6" s="6" t="s">
        <v>47</v>
      </c>
      <c r="F6" s="1" t="s">
        <v>41</v>
      </c>
      <c r="G6" s="7"/>
      <c r="H6" s="1" t="s">
        <v>37</v>
      </c>
      <c r="I6" s="7"/>
      <c r="J6" s="7"/>
      <c r="K6" s="9" t="s">
        <v>38</v>
      </c>
      <c r="L6" s="6" t="s">
        <v>47</v>
      </c>
      <c r="M6" s="1" t="s">
        <v>39</v>
      </c>
      <c r="R6" s="10"/>
    </row>
    <row r="7" spans="1:34">
      <c r="A7" s="6" t="s">
        <v>33</v>
      </c>
      <c r="B7" s="6" t="s">
        <v>48</v>
      </c>
      <c r="C7" s="6" t="s">
        <v>48</v>
      </c>
      <c r="D7" s="1" t="s">
        <v>35</v>
      </c>
      <c r="E7" s="6" t="s">
        <v>48</v>
      </c>
      <c r="F7" s="1" t="s">
        <v>41</v>
      </c>
      <c r="G7" s="7"/>
      <c r="H7" s="1" t="s">
        <v>37</v>
      </c>
      <c r="I7" s="7"/>
      <c r="J7" s="7"/>
      <c r="K7" s="9" t="s">
        <v>38</v>
      </c>
      <c r="L7" s="6" t="s">
        <v>48</v>
      </c>
      <c r="M7" s="1" t="s">
        <v>39</v>
      </c>
      <c r="R7" s="10"/>
    </row>
    <row r="8" spans="1:34">
      <c r="A8" s="6" t="s">
        <v>33</v>
      </c>
      <c r="B8" s="6" t="s">
        <v>49</v>
      </c>
      <c r="C8" s="6" t="s">
        <v>49</v>
      </c>
      <c r="D8" s="1" t="s">
        <v>50</v>
      </c>
      <c r="E8" s="6" t="s">
        <v>49</v>
      </c>
      <c r="F8" s="1" t="s">
        <v>51</v>
      </c>
      <c r="G8" s="7"/>
      <c r="H8" s="1" t="s">
        <v>52</v>
      </c>
      <c r="I8" s="7"/>
      <c r="J8" s="7"/>
      <c r="K8" s="9" t="s">
        <v>38</v>
      </c>
      <c r="L8" s="6" t="s">
        <v>49</v>
      </c>
      <c r="M8" s="1" t="s">
        <v>53</v>
      </c>
      <c r="R8" s="10"/>
    </row>
    <row r="9" spans="1:34">
      <c r="A9" s="6" t="s">
        <v>33</v>
      </c>
      <c r="B9" s="6" t="s">
        <v>54</v>
      </c>
      <c r="C9" s="6" t="s">
        <v>54</v>
      </c>
      <c r="D9" s="1" t="s">
        <v>55</v>
      </c>
      <c r="E9" s="6" t="s">
        <v>54</v>
      </c>
      <c r="F9" s="1" t="s">
        <v>56</v>
      </c>
      <c r="G9" s="7"/>
      <c r="H9" s="1" t="s">
        <v>57</v>
      </c>
      <c r="I9" s="8"/>
      <c r="J9" s="8"/>
      <c r="K9" s="9" t="s">
        <v>38</v>
      </c>
      <c r="L9" s="6" t="s">
        <v>54</v>
      </c>
      <c r="M9" s="44" t="s">
        <v>58</v>
      </c>
      <c r="N9" s="1" t="s">
        <v>59</v>
      </c>
      <c r="R9" s="10"/>
    </row>
    <row r="10" spans="1:34">
      <c r="A10" s="11" t="s">
        <v>33</v>
      </c>
      <c r="B10" s="6" t="s">
        <v>60</v>
      </c>
      <c r="C10" s="6" t="s">
        <v>60</v>
      </c>
      <c r="D10" s="1" t="s">
        <v>55</v>
      </c>
      <c r="E10" s="6" t="s">
        <v>60</v>
      </c>
      <c r="F10" s="1" t="s">
        <v>56</v>
      </c>
      <c r="G10" s="7"/>
      <c r="H10" s="1" t="s">
        <v>57</v>
      </c>
      <c r="I10" s="8"/>
      <c r="J10" s="8"/>
      <c r="K10" s="9" t="s">
        <v>38</v>
      </c>
      <c r="L10" s="6" t="s">
        <v>60</v>
      </c>
      <c r="M10" s="1" t="s">
        <v>53</v>
      </c>
      <c r="R10" s="10"/>
      <c r="S10" s="1" t="s">
        <v>61</v>
      </c>
    </row>
    <row r="11" spans="1:34" s="22" customFormat="1">
      <c r="A11" s="38" t="s">
        <v>33</v>
      </c>
      <c r="B11" s="38" t="s">
        <v>62</v>
      </c>
      <c r="C11" s="38" t="s">
        <v>62</v>
      </c>
      <c r="D11" s="22" t="s">
        <v>55</v>
      </c>
      <c r="E11" s="38" t="s">
        <v>62</v>
      </c>
      <c r="F11" s="22" t="s">
        <v>56</v>
      </c>
      <c r="G11" s="39"/>
      <c r="H11" s="22" t="s">
        <v>57</v>
      </c>
      <c r="I11" s="43"/>
      <c r="J11" s="43"/>
      <c r="K11" s="40" t="s">
        <v>38</v>
      </c>
      <c r="L11" s="38" t="s">
        <v>62</v>
      </c>
      <c r="M11" s="22" t="s">
        <v>63</v>
      </c>
      <c r="N11" s="22" t="s">
        <v>64</v>
      </c>
      <c r="O11" s="22">
        <f>(13.8+13.6+6.4+1.5)/(100-15.7)</f>
        <v>0.41874258600237246</v>
      </c>
      <c r="P11" s="22">
        <v>1.3</v>
      </c>
      <c r="Q11" s="22">
        <v>20.18</v>
      </c>
      <c r="R11" s="41" t="s">
        <v>65</v>
      </c>
      <c r="S11" s="22" t="s">
        <v>66</v>
      </c>
      <c r="T11" s="22" t="s">
        <v>67</v>
      </c>
      <c r="U11" s="46">
        <v>2.577</v>
      </c>
      <c r="V11" s="22">
        <v>1.321</v>
      </c>
      <c r="W11" s="22">
        <v>9564</v>
      </c>
      <c r="X11" s="22">
        <v>96.5</v>
      </c>
      <c r="Y11" s="22">
        <v>6.8</v>
      </c>
      <c r="AC11" s="22">
        <v>2.44</v>
      </c>
      <c r="AD11" s="22">
        <v>1.2689999999999999</v>
      </c>
      <c r="AE11" s="22">
        <v>73.400000000000006</v>
      </c>
      <c r="AF11" s="22">
        <v>2.6970000000000001</v>
      </c>
      <c r="AG11" s="22">
        <v>2.6970000000000001</v>
      </c>
      <c r="AH11" s="22">
        <v>2.3759999999999999</v>
      </c>
    </row>
    <row r="12" spans="1:34">
      <c r="A12" s="6" t="s">
        <v>33</v>
      </c>
      <c r="B12" s="6" t="s">
        <v>68</v>
      </c>
      <c r="C12" s="6" t="s">
        <v>68</v>
      </c>
      <c r="D12" s="1" t="s">
        <v>55</v>
      </c>
      <c r="E12" s="6" t="s">
        <v>68</v>
      </c>
      <c r="F12" s="1" t="s">
        <v>56</v>
      </c>
      <c r="G12" s="7"/>
      <c r="H12" s="1" t="s">
        <v>57</v>
      </c>
      <c r="I12" s="8"/>
      <c r="J12" s="8"/>
      <c r="K12" s="9" t="s">
        <v>38</v>
      </c>
      <c r="L12" s="6" t="s">
        <v>68</v>
      </c>
      <c r="M12" s="1" t="s">
        <v>69</v>
      </c>
      <c r="R12" s="10"/>
    </row>
    <row r="13" spans="1:34">
      <c r="A13" s="6" t="s">
        <v>33</v>
      </c>
      <c r="B13" s="6" t="s">
        <v>70</v>
      </c>
      <c r="C13" s="6" t="s">
        <v>70</v>
      </c>
      <c r="D13" s="1" t="s">
        <v>55</v>
      </c>
      <c r="E13" s="6" t="s">
        <v>70</v>
      </c>
      <c r="F13" s="1" t="s">
        <v>71</v>
      </c>
      <c r="G13" s="7"/>
      <c r="H13" s="1" t="s">
        <v>72</v>
      </c>
      <c r="I13" s="8"/>
      <c r="J13" s="8"/>
      <c r="K13" s="9" t="s">
        <v>38</v>
      </c>
      <c r="L13" s="6" t="s">
        <v>70</v>
      </c>
      <c r="M13" s="1" t="s">
        <v>69</v>
      </c>
      <c r="R13" s="10"/>
    </row>
    <row r="14" spans="1:34">
      <c r="A14" s="6" t="s">
        <v>33</v>
      </c>
      <c r="B14" s="6" t="s">
        <v>73</v>
      </c>
      <c r="C14" s="6" t="s">
        <v>73</v>
      </c>
      <c r="D14" s="1" t="s">
        <v>55</v>
      </c>
      <c r="E14" s="6" t="s">
        <v>73</v>
      </c>
      <c r="F14" s="1" t="s">
        <v>71</v>
      </c>
      <c r="G14" s="7"/>
      <c r="H14" s="1" t="s">
        <v>72</v>
      </c>
      <c r="I14" s="8"/>
      <c r="J14" s="8"/>
      <c r="K14" s="9" t="s">
        <v>38</v>
      </c>
      <c r="L14" s="6" t="s">
        <v>73</v>
      </c>
      <c r="M14" s="1" t="s">
        <v>74</v>
      </c>
      <c r="R14" s="10"/>
    </row>
    <row r="15" spans="1:34" s="22" customFormat="1">
      <c r="A15" s="38" t="s">
        <v>33</v>
      </c>
      <c r="B15" s="38" t="s">
        <v>75</v>
      </c>
      <c r="C15" s="38" t="s">
        <v>75</v>
      </c>
      <c r="D15" s="22" t="s">
        <v>55</v>
      </c>
      <c r="E15" s="38" t="s">
        <v>75</v>
      </c>
      <c r="F15" s="22" t="s">
        <v>71</v>
      </c>
      <c r="G15" s="39"/>
      <c r="H15" s="22" t="s">
        <v>72</v>
      </c>
      <c r="I15" s="43"/>
      <c r="J15" s="43"/>
      <c r="K15" s="40" t="s">
        <v>38</v>
      </c>
      <c r="L15" s="38" t="s">
        <v>75</v>
      </c>
      <c r="M15" s="22" t="s">
        <v>76</v>
      </c>
      <c r="R15" s="41"/>
      <c r="U15" s="46"/>
    </row>
    <row r="16" spans="1:34">
      <c r="A16" s="6"/>
      <c r="B16" s="6"/>
      <c r="C16" s="6"/>
      <c r="E16" s="6"/>
      <c r="G16" s="7"/>
      <c r="I16" s="8"/>
      <c r="J16" s="8"/>
      <c r="L16" s="6"/>
      <c r="M16" s="22" t="s">
        <v>77</v>
      </c>
      <c r="R16" s="10"/>
    </row>
    <row r="17" spans="1:34">
      <c r="A17" s="6" t="s">
        <v>33</v>
      </c>
      <c r="B17" s="6" t="s">
        <v>78</v>
      </c>
      <c r="C17" s="6" t="s">
        <v>78</v>
      </c>
      <c r="D17" s="1" t="s">
        <v>55</v>
      </c>
      <c r="E17" s="6" t="s">
        <v>78</v>
      </c>
      <c r="F17" s="1" t="s">
        <v>71</v>
      </c>
      <c r="G17" s="7"/>
      <c r="H17" s="1" t="s">
        <v>72</v>
      </c>
      <c r="I17" s="8"/>
      <c r="J17" s="8"/>
      <c r="K17" s="9" t="s">
        <v>38</v>
      </c>
      <c r="L17" s="6" t="s">
        <v>78</v>
      </c>
      <c r="M17" s="1" t="s">
        <v>79</v>
      </c>
      <c r="R17" s="10"/>
    </row>
    <row r="18" spans="1:34">
      <c r="A18" s="6" t="s">
        <v>33</v>
      </c>
      <c r="B18" s="6" t="s">
        <v>80</v>
      </c>
      <c r="C18" s="6" t="s">
        <v>80</v>
      </c>
      <c r="D18" s="1" t="s">
        <v>81</v>
      </c>
      <c r="E18" s="6" t="s">
        <v>80</v>
      </c>
      <c r="F18" s="1" t="s">
        <v>82</v>
      </c>
      <c r="G18" s="7"/>
      <c r="H18" s="1" t="s">
        <v>83</v>
      </c>
      <c r="I18" s="8"/>
      <c r="J18" s="8"/>
      <c r="K18" s="9" t="s">
        <v>38</v>
      </c>
      <c r="L18" s="6" t="s">
        <v>80</v>
      </c>
      <c r="M18" s="1" t="s">
        <v>74</v>
      </c>
      <c r="R18" s="10"/>
    </row>
    <row r="19" spans="1:34" s="22" customFormat="1">
      <c r="A19" s="42" t="s">
        <v>33</v>
      </c>
      <c r="B19" s="38" t="s">
        <v>84</v>
      </c>
      <c r="C19" s="38" t="s">
        <v>84</v>
      </c>
      <c r="D19" s="22" t="s">
        <v>81</v>
      </c>
      <c r="E19" s="38" t="s">
        <v>84</v>
      </c>
      <c r="F19" s="22" t="s">
        <v>82</v>
      </c>
      <c r="G19" s="39"/>
      <c r="H19" s="22" t="s">
        <v>83</v>
      </c>
      <c r="I19" s="43"/>
      <c r="J19" s="43"/>
      <c r="K19" s="40" t="s">
        <v>38</v>
      </c>
      <c r="L19" s="38" t="s">
        <v>84</v>
      </c>
      <c r="M19" s="22" t="s">
        <v>85</v>
      </c>
      <c r="N19" s="22" t="s">
        <v>86</v>
      </c>
      <c r="O19" s="22">
        <f>(10.9+27.5+31.8+10.6+3.8)/(100-0.8)</f>
        <v>0.85282258064516125</v>
      </c>
      <c r="P19" s="22">
        <v>0.65</v>
      </c>
      <c r="Q19" s="22">
        <v>36.840000000000003</v>
      </c>
      <c r="R19" s="41" t="s">
        <v>65</v>
      </c>
      <c r="S19" s="22" t="s">
        <v>87</v>
      </c>
      <c r="T19" s="22" t="s">
        <v>88</v>
      </c>
      <c r="U19" s="46">
        <v>1.9379999999999999</v>
      </c>
      <c r="V19" s="22">
        <v>0.124</v>
      </c>
      <c r="W19" s="22">
        <v>21548</v>
      </c>
      <c r="X19" s="22">
        <v>99.4</v>
      </c>
      <c r="Y19" s="22">
        <v>10.1</v>
      </c>
      <c r="AC19" s="22">
        <v>1.9259999999999999</v>
      </c>
      <c r="AD19" s="22">
        <v>0.109</v>
      </c>
      <c r="AE19" s="22">
        <v>80.8</v>
      </c>
      <c r="AF19" s="22">
        <v>1.913</v>
      </c>
      <c r="AG19" s="22">
        <v>1.913</v>
      </c>
      <c r="AH19" s="22">
        <v>2.266</v>
      </c>
    </row>
    <row r="20" spans="1:34">
      <c r="A20" s="6" t="s">
        <v>33</v>
      </c>
      <c r="B20" s="6" t="s">
        <v>89</v>
      </c>
      <c r="C20" s="6" t="s">
        <v>89</v>
      </c>
      <c r="D20" s="1" t="s">
        <v>90</v>
      </c>
      <c r="E20" s="6" t="s">
        <v>89</v>
      </c>
      <c r="F20" s="1" t="s">
        <v>71</v>
      </c>
      <c r="G20" s="7"/>
      <c r="H20" s="1" t="s">
        <v>91</v>
      </c>
      <c r="I20" s="8"/>
      <c r="J20" s="8"/>
      <c r="K20" s="9" t="s">
        <v>38</v>
      </c>
      <c r="L20" s="6" t="s">
        <v>89</v>
      </c>
      <c r="M20" s="1" t="s">
        <v>92</v>
      </c>
      <c r="N20" s="1" t="s">
        <v>93</v>
      </c>
    </row>
    <row r="21" spans="1:34">
      <c r="A21" s="6" t="s">
        <v>33</v>
      </c>
      <c r="B21" s="6" t="s">
        <v>94</v>
      </c>
      <c r="C21" s="6" t="s">
        <v>94</v>
      </c>
      <c r="D21" s="1" t="s">
        <v>90</v>
      </c>
      <c r="E21" s="6" t="s">
        <v>94</v>
      </c>
      <c r="F21" s="1" t="s">
        <v>71</v>
      </c>
      <c r="G21" s="7"/>
      <c r="H21" s="1" t="s">
        <v>91</v>
      </c>
      <c r="I21" s="8"/>
      <c r="J21" s="8"/>
      <c r="K21" s="12" t="s">
        <v>38</v>
      </c>
      <c r="L21" s="6" t="s">
        <v>94</v>
      </c>
      <c r="M21" s="1" t="s">
        <v>92</v>
      </c>
    </row>
    <row r="22" spans="1:34">
      <c r="A22" s="6" t="s">
        <v>33</v>
      </c>
      <c r="B22" s="6" t="s">
        <v>95</v>
      </c>
      <c r="C22" s="6" t="s">
        <v>95</v>
      </c>
      <c r="D22" s="1" t="s">
        <v>90</v>
      </c>
      <c r="E22" s="6" t="s">
        <v>95</v>
      </c>
      <c r="F22" s="1" t="s">
        <v>71</v>
      </c>
      <c r="G22" s="7"/>
      <c r="H22" s="1" t="s">
        <v>91</v>
      </c>
      <c r="I22" s="8"/>
      <c r="J22" s="8"/>
      <c r="K22" s="12" t="s">
        <v>38</v>
      </c>
      <c r="L22" s="6" t="s">
        <v>95</v>
      </c>
      <c r="M22" s="1" t="s">
        <v>92</v>
      </c>
    </row>
    <row r="23" spans="1:34">
      <c r="A23" s="6" t="s">
        <v>33</v>
      </c>
      <c r="B23" s="6" t="s">
        <v>96</v>
      </c>
      <c r="C23" s="6" t="s">
        <v>96</v>
      </c>
      <c r="D23" s="1" t="s">
        <v>90</v>
      </c>
      <c r="E23" s="6" t="s">
        <v>96</v>
      </c>
      <c r="F23" s="1" t="s">
        <v>71</v>
      </c>
      <c r="G23" s="7"/>
      <c r="H23" s="1" t="s">
        <v>91</v>
      </c>
      <c r="I23" s="8"/>
      <c r="J23" s="8"/>
      <c r="K23" s="12" t="s">
        <v>38</v>
      </c>
      <c r="L23" s="6" t="s">
        <v>96</v>
      </c>
      <c r="M23" s="1" t="s">
        <v>92</v>
      </c>
    </row>
    <row r="24" spans="1:34">
      <c r="A24" s="6" t="s">
        <v>33</v>
      </c>
      <c r="B24" s="6" t="s">
        <v>97</v>
      </c>
      <c r="C24" s="6" t="s">
        <v>97</v>
      </c>
      <c r="D24" s="1" t="s">
        <v>98</v>
      </c>
      <c r="E24" s="6" t="s">
        <v>97</v>
      </c>
      <c r="F24" s="1" t="s">
        <v>99</v>
      </c>
      <c r="G24" s="7"/>
      <c r="H24" s="1" t="s">
        <v>100</v>
      </c>
      <c r="I24" s="8"/>
      <c r="J24" s="8"/>
      <c r="K24" s="12" t="s">
        <v>38</v>
      </c>
      <c r="L24" s="6" t="s">
        <v>97</v>
      </c>
      <c r="M24" s="1" t="s">
        <v>101</v>
      </c>
    </row>
    <row r="25" spans="1:34" s="22" customFormat="1">
      <c r="A25" s="38" t="s">
        <v>33</v>
      </c>
      <c r="B25" s="38" t="s">
        <v>102</v>
      </c>
      <c r="C25" s="38" t="s">
        <v>102</v>
      </c>
      <c r="D25" s="22" t="s">
        <v>103</v>
      </c>
      <c r="E25" s="38" t="s">
        <v>102</v>
      </c>
      <c r="F25" s="22" t="s">
        <v>99</v>
      </c>
      <c r="G25" s="39"/>
      <c r="H25" s="22" t="s">
        <v>100</v>
      </c>
      <c r="I25" s="43"/>
      <c r="J25" s="43"/>
      <c r="K25" s="40" t="s">
        <v>38</v>
      </c>
      <c r="L25" s="38" t="s">
        <v>102</v>
      </c>
      <c r="M25" s="22" t="s">
        <v>104</v>
      </c>
      <c r="N25" s="22" t="s">
        <v>86</v>
      </c>
      <c r="O25" s="22">
        <f>(6.7+4.7)/(100-88.6)</f>
        <v>0.99999999999999956</v>
      </c>
      <c r="P25" s="22">
        <v>0.3</v>
      </c>
      <c r="Q25" s="22">
        <v>28.39</v>
      </c>
      <c r="R25" s="41" t="s">
        <v>105</v>
      </c>
      <c r="S25" s="22" t="s">
        <v>89</v>
      </c>
      <c r="T25" s="41" t="s">
        <v>106</v>
      </c>
      <c r="U25" s="46">
        <v>2.34</v>
      </c>
      <c r="V25" s="22">
        <v>0.23200000000000001</v>
      </c>
      <c r="W25" s="22">
        <v>24460</v>
      </c>
      <c r="X25" s="22">
        <v>94.7</v>
      </c>
      <c r="Y25" s="22">
        <v>4.9000000000000004</v>
      </c>
      <c r="AC25" s="22">
        <v>2.5739999999999998</v>
      </c>
      <c r="AD25" s="22">
        <v>0.17699999999999999</v>
      </c>
      <c r="AE25" s="22">
        <v>69.2</v>
      </c>
      <c r="AF25" s="22">
        <v>2.5939999999999999</v>
      </c>
      <c r="AG25" s="22">
        <v>2.5939999999999999</v>
      </c>
      <c r="AH25" s="22">
        <v>3.198</v>
      </c>
    </row>
    <row r="26" spans="1:34" s="22" customFormat="1">
      <c r="A26" s="38"/>
      <c r="B26" s="38"/>
      <c r="C26" s="38"/>
      <c r="D26" s="22" t="s">
        <v>107</v>
      </c>
      <c r="E26" s="38"/>
      <c r="G26" s="39"/>
      <c r="I26" s="43"/>
      <c r="J26" s="43"/>
      <c r="K26" s="40"/>
      <c r="L26" s="38"/>
      <c r="R26" s="41"/>
      <c r="T26" s="41"/>
      <c r="U26" s="46"/>
    </row>
    <row r="27" spans="1:34">
      <c r="A27" s="6" t="s">
        <v>33</v>
      </c>
      <c r="B27" s="6" t="s">
        <v>108</v>
      </c>
      <c r="C27" s="6" t="s">
        <v>108</v>
      </c>
      <c r="D27" s="1" t="s">
        <v>103</v>
      </c>
      <c r="E27" s="6" t="s">
        <v>108</v>
      </c>
      <c r="F27" s="1" t="s">
        <v>99</v>
      </c>
      <c r="G27" s="7"/>
      <c r="H27" s="1" t="s">
        <v>100</v>
      </c>
      <c r="I27" s="8"/>
      <c r="J27" s="8"/>
      <c r="K27" s="9" t="s">
        <v>38</v>
      </c>
      <c r="L27" s="6" t="s">
        <v>108</v>
      </c>
      <c r="M27" s="1" t="s">
        <v>79</v>
      </c>
      <c r="R27" s="10"/>
    </row>
    <row r="28" spans="1:34" s="22" customFormat="1">
      <c r="A28" s="42" t="s">
        <v>33</v>
      </c>
      <c r="B28" s="38" t="s">
        <v>109</v>
      </c>
      <c r="C28" s="38" t="s">
        <v>109</v>
      </c>
      <c r="D28" s="22" t="s">
        <v>103</v>
      </c>
      <c r="E28" s="38" t="s">
        <v>109</v>
      </c>
      <c r="F28" s="22" t="s">
        <v>99</v>
      </c>
      <c r="G28" s="39"/>
      <c r="H28" s="22" t="s">
        <v>100</v>
      </c>
      <c r="I28" s="43"/>
      <c r="J28" s="43"/>
      <c r="K28" s="40" t="s">
        <v>38</v>
      </c>
      <c r="L28" s="38" t="s">
        <v>109</v>
      </c>
      <c r="M28" s="22" t="s">
        <v>110</v>
      </c>
      <c r="N28" s="22" t="s">
        <v>86</v>
      </c>
      <c r="O28" s="22">
        <f>(23.1)/(100-59.6)</f>
        <v>0.57178217821782185</v>
      </c>
      <c r="P28" s="22">
        <v>1.5</v>
      </c>
      <c r="Q28" s="22">
        <v>33.67</v>
      </c>
      <c r="R28" s="41" t="s">
        <v>65</v>
      </c>
      <c r="S28" s="22" t="s">
        <v>89</v>
      </c>
      <c r="T28" s="22" t="s">
        <v>111</v>
      </c>
      <c r="U28" s="46">
        <v>2.5659999999999998</v>
      </c>
      <c r="V28" s="22">
        <v>0.108</v>
      </c>
      <c r="W28" s="22">
        <v>27626</v>
      </c>
      <c r="X28" s="22">
        <v>92.4</v>
      </c>
      <c r="Y28" s="22">
        <v>3.6</v>
      </c>
      <c r="AC28" s="22">
        <v>2.5569999999999999</v>
      </c>
      <c r="AD28" s="22">
        <v>8.5000000000000006E-2</v>
      </c>
      <c r="AE28" s="22">
        <v>64</v>
      </c>
      <c r="AF28" s="22">
        <v>2.5539999999999998</v>
      </c>
      <c r="AG28" s="22">
        <v>3.07</v>
      </c>
      <c r="AH28" s="22">
        <v>2.82</v>
      </c>
    </row>
    <row r="29" spans="1:34">
      <c r="A29" s="11"/>
      <c r="B29" s="6"/>
      <c r="C29" s="6"/>
      <c r="E29" s="6"/>
      <c r="G29" s="7"/>
      <c r="I29" s="8"/>
      <c r="J29" s="8"/>
      <c r="L29" s="6" t="s">
        <v>112</v>
      </c>
      <c r="M29" s="22" t="s">
        <v>113</v>
      </c>
      <c r="R29" s="10"/>
    </row>
    <row r="30" spans="1:34">
      <c r="A30" s="6" t="s">
        <v>33</v>
      </c>
      <c r="B30" s="6" t="s">
        <v>114</v>
      </c>
      <c r="C30" s="6" t="s">
        <v>114</v>
      </c>
      <c r="D30" s="1" t="s">
        <v>103</v>
      </c>
      <c r="E30" s="6" t="s">
        <v>114</v>
      </c>
      <c r="F30" s="1" t="s">
        <v>99</v>
      </c>
      <c r="G30" s="7"/>
      <c r="H30" s="1" t="s">
        <v>100</v>
      </c>
      <c r="I30" s="8"/>
      <c r="J30" s="8"/>
      <c r="K30" s="9" t="s">
        <v>38</v>
      </c>
      <c r="L30" s="6" t="s">
        <v>114</v>
      </c>
      <c r="M30" s="1" t="s">
        <v>115</v>
      </c>
      <c r="N30" s="1" t="s">
        <v>116</v>
      </c>
      <c r="R30" s="10"/>
    </row>
    <row r="31" spans="1:34">
      <c r="A31" s="6" t="s">
        <v>33</v>
      </c>
      <c r="B31" s="6" t="s">
        <v>117</v>
      </c>
      <c r="C31" s="6" t="s">
        <v>117</v>
      </c>
      <c r="D31" s="1" t="s">
        <v>103</v>
      </c>
      <c r="E31" s="6" t="s">
        <v>117</v>
      </c>
      <c r="F31" s="1" t="s">
        <v>99</v>
      </c>
      <c r="G31" s="7"/>
      <c r="H31" s="1" t="s">
        <v>100</v>
      </c>
      <c r="I31" s="8"/>
      <c r="J31" s="8"/>
      <c r="K31" s="9" t="s">
        <v>38</v>
      </c>
      <c r="L31" s="6" t="s">
        <v>117</v>
      </c>
      <c r="M31" s="1" t="s">
        <v>118</v>
      </c>
      <c r="R31" s="10"/>
    </row>
    <row r="32" spans="1:34">
      <c r="A32" s="6" t="s">
        <v>33</v>
      </c>
      <c r="B32" s="6" t="s">
        <v>119</v>
      </c>
      <c r="C32" s="6" t="s">
        <v>119</v>
      </c>
      <c r="D32" s="1" t="s">
        <v>103</v>
      </c>
      <c r="E32" s="6" t="s">
        <v>119</v>
      </c>
      <c r="F32" s="1" t="s">
        <v>99</v>
      </c>
      <c r="G32" s="7"/>
      <c r="H32" s="1" t="s">
        <v>120</v>
      </c>
      <c r="I32" s="8"/>
      <c r="J32" s="8"/>
      <c r="K32" s="9" t="s">
        <v>38</v>
      </c>
      <c r="L32" s="6" t="s">
        <v>119</v>
      </c>
      <c r="M32" s="1" t="s">
        <v>115</v>
      </c>
      <c r="R32" s="10"/>
    </row>
    <row r="33" spans="1:21">
      <c r="A33" s="6" t="s">
        <v>33</v>
      </c>
      <c r="B33" s="6" t="s">
        <v>121</v>
      </c>
      <c r="C33" s="6" t="s">
        <v>121</v>
      </c>
      <c r="D33" s="1" t="s">
        <v>103</v>
      </c>
      <c r="E33" s="6" t="s">
        <v>121</v>
      </c>
      <c r="F33" s="1" t="s">
        <v>99</v>
      </c>
      <c r="G33" s="7"/>
      <c r="H33" s="1" t="s">
        <v>120</v>
      </c>
      <c r="I33" s="8"/>
      <c r="J33" s="8"/>
      <c r="K33" s="9" t="s">
        <v>38</v>
      </c>
      <c r="L33" s="6" t="s">
        <v>121</v>
      </c>
      <c r="M33" s="1" t="s">
        <v>115</v>
      </c>
      <c r="R33" s="10"/>
    </row>
    <row r="34" spans="1:21">
      <c r="A34" s="6" t="s">
        <v>33</v>
      </c>
      <c r="B34" s="6" t="s">
        <v>122</v>
      </c>
      <c r="C34" s="6" t="s">
        <v>122</v>
      </c>
      <c r="D34" s="1" t="s">
        <v>103</v>
      </c>
      <c r="E34" s="6" t="s">
        <v>122</v>
      </c>
      <c r="F34" s="1" t="s">
        <v>99</v>
      </c>
      <c r="G34" s="7"/>
      <c r="H34" s="1" t="s">
        <v>120</v>
      </c>
      <c r="I34" s="8"/>
      <c r="J34" s="8"/>
      <c r="K34" s="9" t="s">
        <v>38</v>
      </c>
      <c r="L34" s="6" t="s">
        <v>122</v>
      </c>
      <c r="M34" s="1" t="s">
        <v>123</v>
      </c>
      <c r="R34" s="10"/>
    </row>
    <row r="35" spans="1:21">
      <c r="A35" s="6" t="s">
        <v>33</v>
      </c>
      <c r="B35" s="6" t="s">
        <v>124</v>
      </c>
      <c r="C35" s="6" t="s">
        <v>124</v>
      </c>
      <c r="D35" s="1" t="s">
        <v>103</v>
      </c>
      <c r="E35" s="6" t="s">
        <v>124</v>
      </c>
      <c r="F35" s="1" t="s">
        <v>99</v>
      </c>
      <c r="G35" s="7"/>
      <c r="H35" s="1" t="s">
        <v>120</v>
      </c>
      <c r="I35" s="8"/>
      <c r="J35" s="8"/>
      <c r="K35" s="9" t="s">
        <v>38</v>
      </c>
      <c r="L35" s="6" t="s">
        <v>124</v>
      </c>
      <c r="M35" s="1" t="s">
        <v>125</v>
      </c>
      <c r="R35" s="10"/>
    </row>
    <row r="36" spans="1:21">
      <c r="A36" s="6" t="s">
        <v>33</v>
      </c>
      <c r="B36" s="6" t="s">
        <v>126</v>
      </c>
      <c r="C36" s="6" t="s">
        <v>126</v>
      </c>
      <c r="D36" s="1" t="s">
        <v>103</v>
      </c>
      <c r="E36" s="6" t="s">
        <v>126</v>
      </c>
      <c r="F36" s="1" t="s">
        <v>99</v>
      </c>
      <c r="G36" s="7"/>
      <c r="H36" s="1" t="s">
        <v>120</v>
      </c>
      <c r="I36" s="8"/>
      <c r="J36" s="8"/>
      <c r="K36" s="9" t="s">
        <v>38</v>
      </c>
      <c r="L36" s="6" t="s">
        <v>126</v>
      </c>
      <c r="M36" s="1" t="s">
        <v>127</v>
      </c>
      <c r="R36" s="10"/>
    </row>
    <row r="37" spans="1:21">
      <c r="A37" s="11" t="s">
        <v>33</v>
      </c>
      <c r="B37" s="6" t="s">
        <v>128</v>
      </c>
      <c r="C37" s="6" t="s">
        <v>128</v>
      </c>
      <c r="D37" s="1" t="s">
        <v>103</v>
      </c>
      <c r="E37" s="6" t="s">
        <v>128</v>
      </c>
      <c r="F37" s="1" t="s">
        <v>99</v>
      </c>
      <c r="G37" s="7"/>
      <c r="H37" s="1" t="s">
        <v>120</v>
      </c>
      <c r="I37" s="8"/>
      <c r="J37" s="8"/>
      <c r="K37" s="9" t="s">
        <v>38</v>
      </c>
      <c r="L37" s="6" t="s">
        <v>128</v>
      </c>
      <c r="M37" s="1" t="s">
        <v>129</v>
      </c>
      <c r="R37" s="10"/>
    </row>
    <row r="38" spans="1:21">
      <c r="A38" s="6" t="s">
        <v>33</v>
      </c>
      <c r="B38" s="6" t="s">
        <v>130</v>
      </c>
      <c r="C38" s="6" t="s">
        <v>130</v>
      </c>
      <c r="D38" s="1" t="s">
        <v>103</v>
      </c>
      <c r="E38" s="6" t="s">
        <v>130</v>
      </c>
      <c r="F38" s="1" t="s">
        <v>99</v>
      </c>
      <c r="G38" s="7"/>
      <c r="H38" s="1" t="s">
        <v>131</v>
      </c>
      <c r="I38" s="8"/>
      <c r="J38" s="8"/>
      <c r="K38" s="9" t="s">
        <v>38</v>
      </c>
      <c r="L38" s="6" t="s">
        <v>130</v>
      </c>
      <c r="M38" s="1" t="s">
        <v>132</v>
      </c>
      <c r="R38" s="10"/>
    </row>
    <row r="39" spans="1:21">
      <c r="A39" s="6" t="s">
        <v>33</v>
      </c>
      <c r="B39" s="6" t="s">
        <v>133</v>
      </c>
      <c r="C39" s="6" t="s">
        <v>133</v>
      </c>
      <c r="D39" s="1" t="s">
        <v>103</v>
      </c>
      <c r="E39" s="6" t="s">
        <v>133</v>
      </c>
      <c r="F39" s="1" t="s">
        <v>99</v>
      </c>
      <c r="G39" s="7"/>
      <c r="H39" s="1" t="s">
        <v>131</v>
      </c>
      <c r="I39" s="8"/>
      <c r="J39" s="8"/>
      <c r="K39" s="9" t="s">
        <v>38</v>
      </c>
      <c r="L39" s="6" t="s">
        <v>133</v>
      </c>
      <c r="M39" s="1" t="s">
        <v>134</v>
      </c>
      <c r="R39" s="10"/>
    </row>
    <row r="40" spans="1:21">
      <c r="A40" s="6" t="s">
        <v>33</v>
      </c>
      <c r="B40" s="6" t="s">
        <v>135</v>
      </c>
      <c r="C40" s="6" t="s">
        <v>135</v>
      </c>
      <c r="D40" s="1" t="s">
        <v>103</v>
      </c>
      <c r="E40" s="6" t="s">
        <v>135</v>
      </c>
      <c r="F40" s="1" t="s">
        <v>99</v>
      </c>
      <c r="G40" s="7"/>
      <c r="H40" s="1" t="s">
        <v>131</v>
      </c>
      <c r="I40" s="8"/>
      <c r="J40" s="8"/>
      <c r="K40" s="9" t="s">
        <v>38</v>
      </c>
      <c r="L40" s="6" t="s">
        <v>135</v>
      </c>
      <c r="M40" s="1" t="s">
        <v>136</v>
      </c>
      <c r="R40" s="10"/>
    </row>
    <row r="41" spans="1:21">
      <c r="A41" s="6" t="s">
        <v>33</v>
      </c>
      <c r="B41" s="6" t="s">
        <v>137</v>
      </c>
      <c r="C41" s="6" t="s">
        <v>137</v>
      </c>
      <c r="D41" s="1" t="s">
        <v>103</v>
      </c>
      <c r="E41" s="6" t="s">
        <v>137</v>
      </c>
      <c r="F41" s="1" t="s">
        <v>99</v>
      </c>
      <c r="G41" s="7"/>
      <c r="H41" s="1" t="s">
        <v>131</v>
      </c>
      <c r="I41" s="8"/>
      <c r="J41" s="8"/>
      <c r="K41" s="9" t="s">
        <v>38</v>
      </c>
      <c r="L41" s="6" t="s">
        <v>137</v>
      </c>
      <c r="M41" s="1" t="s">
        <v>138</v>
      </c>
      <c r="R41" s="10"/>
    </row>
    <row r="42" spans="1:21">
      <c r="A42" s="6" t="s">
        <v>33</v>
      </c>
      <c r="B42" s="6" t="s">
        <v>139</v>
      </c>
      <c r="C42" s="6" t="s">
        <v>139</v>
      </c>
      <c r="D42" s="1" t="s">
        <v>50</v>
      </c>
      <c r="E42" s="6" t="s">
        <v>139</v>
      </c>
      <c r="F42" s="1" t="s">
        <v>51</v>
      </c>
      <c r="G42" s="7"/>
      <c r="H42" s="1" t="s">
        <v>52</v>
      </c>
      <c r="I42" s="8"/>
      <c r="J42" s="8"/>
      <c r="K42" s="9" t="s">
        <v>38</v>
      </c>
      <c r="L42" s="6" t="s">
        <v>139</v>
      </c>
      <c r="M42" s="1" t="s">
        <v>46</v>
      </c>
      <c r="R42" s="10"/>
    </row>
    <row r="43" spans="1:21">
      <c r="A43" s="6" t="s">
        <v>33</v>
      </c>
      <c r="B43" s="6" t="s">
        <v>140</v>
      </c>
      <c r="C43" s="6" t="s">
        <v>140</v>
      </c>
      <c r="D43" s="1" t="s">
        <v>50</v>
      </c>
      <c r="E43" s="6" t="s">
        <v>140</v>
      </c>
      <c r="F43" s="1" t="s">
        <v>51</v>
      </c>
      <c r="G43" s="7"/>
      <c r="H43" s="1" t="s">
        <v>52</v>
      </c>
      <c r="I43" s="8"/>
      <c r="J43" s="8"/>
      <c r="K43" s="9" t="s">
        <v>38</v>
      </c>
      <c r="L43" s="6" t="s">
        <v>140</v>
      </c>
      <c r="M43" s="1" t="s">
        <v>74</v>
      </c>
      <c r="R43" s="10"/>
    </row>
    <row r="44" spans="1:21">
      <c r="A44" s="6" t="s">
        <v>33</v>
      </c>
      <c r="B44" s="6" t="s">
        <v>141</v>
      </c>
      <c r="C44" s="6" t="s">
        <v>141</v>
      </c>
      <c r="D44" s="1" t="s">
        <v>50</v>
      </c>
      <c r="E44" s="6" t="s">
        <v>141</v>
      </c>
      <c r="F44" s="1" t="s">
        <v>51</v>
      </c>
      <c r="G44" s="7"/>
      <c r="H44" s="1" t="s">
        <v>52</v>
      </c>
      <c r="I44" s="8"/>
      <c r="J44" s="8"/>
      <c r="K44" s="9" t="s">
        <v>38</v>
      </c>
      <c r="L44" s="6" t="s">
        <v>141</v>
      </c>
      <c r="M44" s="1" t="s">
        <v>136</v>
      </c>
      <c r="R44" s="10"/>
    </row>
    <row r="45" spans="1:21" s="22" customFormat="1">
      <c r="A45" s="42" t="s">
        <v>33</v>
      </c>
      <c r="B45" s="38" t="s">
        <v>142</v>
      </c>
      <c r="C45" s="38" t="s">
        <v>142</v>
      </c>
      <c r="D45" s="22" t="s">
        <v>143</v>
      </c>
      <c r="E45" s="38" t="s">
        <v>142</v>
      </c>
      <c r="F45" s="22" t="s">
        <v>144</v>
      </c>
      <c r="G45" s="39"/>
      <c r="H45" s="22" t="s">
        <v>145</v>
      </c>
      <c r="I45" s="39"/>
      <c r="J45" s="39"/>
      <c r="K45" s="40" t="s">
        <v>146</v>
      </c>
      <c r="L45" s="38" t="s">
        <v>142</v>
      </c>
      <c r="M45" s="22" t="s">
        <v>147</v>
      </c>
      <c r="N45" s="22" t="s">
        <v>148</v>
      </c>
      <c r="R45" s="41"/>
      <c r="U45" s="46"/>
    </row>
    <row r="46" spans="1:21">
      <c r="A46" s="6" t="s">
        <v>33</v>
      </c>
      <c r="B46" s="6" t="s">
        <v>149</v>
      </c>
      <c r="C46" s="6" t="s">
        <v>149</v>
      </c>
      <c r="D46" s="1" t="s">
        <v>150</v>
      </c>
      <c r="E46" s="6" t="s">
        <v>149</v>
      </c>
      <c r="F46" s="1" t="s">
        <v>151</v>
      </c>
      <c r="G46" s="7"/>
      <c r="H46" s="1" t="s">
        <v>152</v>
      </c>
      <c r="I46" s="8"/>
      <c r="J46" s="8"/>
      <c r="K46" s="9" t="s">
        <v>38</v>
      </c>
      <c r="L46" s="6" t="s">
        <v>149</v>
      </c>
      <c r="M46" s="1" t="s">
        <v>74</v>
      </c>
    </row>
    <row r="47" spans="1:21">
      <c r="A47" s="6" t="s">
        <v>33</v>
      </c>
      <c r="B47" s="6" t="s">
        <v>153</v>
      </c>
      <c r="C47" s="6" t="s">
        <v>153</v>
      </c>
      <c r="D47" s="1" t="s">
        <v>150</v>
      </c>
      <c r="E47" s="6" t="s">
        <v>153</v>
      </c>
      <c r="F47" s="1" t="s">
        <v>154</v>
      </c>
      <c r="G47" s="7"/>
      <c r="H47" s="1" t="s">
        <v>152</v>
      </c>
      <c r="I47" s="7"/>
      <c r="J47" s="7"/>
      <c r="K47" s="9" t="s">
        <v>38</v>
      </c>
      <c r="L47" s="6" t="s">
        <v>153</v>
      </c>
      <c r="M47" s="1" t="s">
        <v>155</v>
      </c>
      <c r="R47" s="10"/>
    </row>
    <row r="48" spans="1:21">
      <c r="A48" s="6" t="s">
        <v>33</v>
      </c>
      <c r="B48" s="6" t="s">
        <v>156</v>
      </c>
      <c r="C48" s="6" t="s">
        <v>156</v>
      </c>
      <c r="D48" s="1" t="s">
        <v>150</v>
      </c>
      <c r="E48" s="6" t="s">
        <v>156</v>
      </c>
      <c r="F48" s="1" t="s">
        <v>154</v>
      </c>
      <c r="G48" s="7"/>
      <c r="H48" s="1" t="s">
        <v>152</v>
      </c>
      <c r="I48" s="8"/>
      <c r="J48" s="8"/>
      <c r="K48" s="9" t="s">
        <v>38</v>
      </c>
      <c r="L48" s="6" t="s">
        <v>156</v>
      </c>
      <c r="M48" s="1" t="s">
        <v>74</v>
      </c>
      <c r="R48" s="10"/>
    </row>
    <row r="49" spans="1:22">
      <c r="A49" s="6" t="s">
        <v>33</v>
      </c>
      <c r="B49" s="6" t="s">
        <v>157</v>
      </c>
      <c r="C49" s="6" t="s">
        <v>157</v>
      </c>
      <c r="D49" s="1" t="s">
        <v>150</v>
      </c>
      <c r="E49" s="6" t="s">
        <v>157</v>
      </c>
      <c r="F49" s="1" t="s">
        <v>158</v>
      </c>
      <c r="G49" s="7"/>
      <c r="H49" s="1" t="s">
        <v>152</v>
      </c>
      <c r="I49" s="8"/>
      <c r="J49" s="8"/>
      <c r="K49" s="9" t="s">
        <v>38</v>
      </c>
      <c r="L49" s="6" t="s">
        <v>157</v>
      </c>
      <c r="M49" s="1" t="s">
        <v>74</v>
      </c>
      <c r="R49" s="10"/>
    </row>
    <row r="50" spans="1:22">
      <c r="A50" s="6" t="s">
        <v>33</v>
      </c>
      <c r="B50" s="6" t="s">
        <v>159</v>
      </c>
      <c r="C50" s="6" t="s">
        <v>159</v>
      </c>
      <c r="D50" s="1" t="s">
        <v>90</v>
      </c>
      <c r="E50" s="6" t="s">
        <v>159</v>
      </c>
      <c r="F50" s="1" t="s">
        <v>160</v>
      </c>
      <c r="G50" s="7"/>
      <c r="H50" s="1" t="s">
        <v>161</v>
      </c>
      <c r="I50" s="8"/>
      <c r="J50" s="8"/>
      <c r="K50" s="9" t="s">
        <v>38</v>
      </c>
      <c r="L50" s="6" t="s">
        <v>159</v>
      </c>
      <c r="M50" s="1" t="s">
        <v>162</v>
      </c>
      <c r="R50" s="10"/>
    </row>
    <row r="51" spans="1:22">
      <c r="A51" s="6" t="s">
        <v>33</v>
      </c>
      <c r="B51" s="6" t="s">
        <v>163</v>
      </c>
      <c r="C51" s="6" t="s">
        <v>163</v>
      </c>
      <c r="D51" s="1" t="s">
        <v>90</v>
      </c>
      <c r="E51" s="6" t="s">
        <v>163</v>
      </c>
      <c r="F51" s="1" t="s">
        <v>160</v>
      </c>
      <c r="G51" s="7"/>
      <c r="H51" s="1" t="s">
        <v>161</v>
      </c>
      <c r="I51" s="8"/>
      <c r="J51" s="8"/>
      <c r="K51" s="9" t="s">
        <v>38</v>
      </c>
      <c r="L51" s="6" t="s">
        <v>163</v>
      </c>
      <c r="M51" s="1" t="s">
        <v>74</v>
      </c>
      <c r="R51" s="10"/>
    </row>
    <row r="52" spans="1:22">
      <c r="A52" s="6" t="s">
        <v>33</v>
      </c>
      <c r="B52" s="6" t="s">
        <v>164</v>
      </c>
      <c r="C52" s="6" t="s">
        <v>164</v>
      </c>
      <c r="D52" s="1" t="s">
        <v>165</v>
      </c>
      <c r="E52" s="6" t="s">
        <v>164</v>
      </c>
      <c r="F52" s="1" t="s">
        <v>166</v>
      </c>
      <c r="G52" s="7"/>
      <c r="H52" s="1" t="s">
        <v>167</v>
      </c>
      <c r="I52" s="8"/>
      <c r="J52" s="8"/>
      <c r="K52" s="9" t="s">
        <v>38</v>
      </c>
      <c r="L52" s="6" t="s">
        <v>164</v>
      </c>
      <c r="M52" s="1" t="s">
        <v>168</v>
      </c>
      <c r="R52" s="10"/>
      <c r="V52" s="1" t="s">
        <v>164</v>
      </c>
    </row>
    <row r="53" spans="1:22">
      <c r="A53" s="11" t="s">
        <v>33</v>
      </c>
      <c r="B53" s="6" t="s">
        <v>169</v>
      </c>
      <c r="C53" s="6" t="s">
        <v>169</v>
      </c>
      <c r="D53" s="1" t="s">
        <v>165</v>
      </c>
      <c r="E53" s="6" t="s">
        <v>169</v>
      </c>
      <c r="F53" s="1" t="s">
        <v>166</v>
      </c>
      <c r="G53" s="7"/>
      <c r="H53" s="1" t="s">
        <v>167</v>
      </c>
      <c r="I53" s="8"/>
      <c r="J53" s="8"/>
      <c r="K53" s="9" t="s">
        <v>38</v>
      </c>
      <c r="L53" s="6" t="s">
        <v>169</v>
      </c>
      <c r="M53" s="1" t="s">
        <v>170</v>
      </c>
      <c r="R53" s="10"/>
    </row>
    <row r="54" spans="1:22">
      <c r="A54" s="6" t="s">
        <v>33</v>
      </c>
      <c r="B54" s="6" t="s">
        <v>171</v>
      </c>
      <c r="C54" s="6" t="s">
        <v>171</v>
      </c>
      <c r="D54" s="1" t="s">
        <v>165</v>
      </c>
      <c r="E54" s="6" t="s">
        <v>171</v>
      </c>
      <c r="F54" s="1" t="s">
        <v>36</v>
      </c>
      <c r="G54" s="7"/>
      <c r="H54" s="1" t="s">
        <v>52</v>
      </c>
      <c r="I54" s="8"/>
      <c r="J54" s="8"/>
      <c r="K54" s="9" t="s">
        <v>38</v>
      </c>
      <c r="L54" s="6" t="s">
        <v>171</v>
      </c>
      <c r="M54" s="1" t="s">
        <v>172</v>
      </c>
      <c r="R54" s="10"/>
    </row>
    <row r="55" spans="1:22">
      <c r="A55" s="6" t="s">
        <v>33</v>
      </c>
      <c r="B55" s="6" t="s">
        <v>173</v>
      </c>
      <c r="C55" s="6" t="s">
        <v>173</v>
      </c>
      <c r="D55" s="1" t="s">
        <v>165</v>
      </c>
      <c r="E55" s="6" t="s">
        <v>173</v>
      </c>
      <c r="F55" s="1" t="s">
        <v>36</v>
      </c>
      <c r="G55" s="7"/>
      <c r="H55" s="1" t="s">
        <v>52</v>
      </c>
      <c r="I55" s="8"/>
      <c r="J55" s="8"/>
      <c r="K55" s="9" t="s">
        <v>38</v>
      </c>
      <c r="L55" s="6" t="s">
        <v>173</v>
      </c>
      <c r="M55" s="1" t="s">
        <v>174</v>
      </c>
      <c r="R55" s="10"/>
    </row>
    <row r="56" spans="1:22">
      <c r="A56" s="6" t="s">
        <v>33</v>
      </c>
      <c r="B56" s="6" t="s">
        <v>175</v>
      </c>
      <c r="C56" s="6" t="s">
        <v>175</v>
      </c>
      <c r="D56" s="1" t="s">
        <v>165</v>
      </c>
      <c r="E56" s="6" t="s">
        <v>175</v>
      </c>
      <c r="F56" s="1" t="s">
        <v>36</v>
      </c>
      <c r="G56" s="7"/>
      <c r="H56" s="1" t="s">
        <v>52</v>
      </c>
      <c r="I56" s="8"/>
      <c r="J56" s="8"/>
      <c r="K56" s="9" t="s">
        <v>38</v>
      </c>
      <c r="L56" s="6" t="s">
        <v>175</v>
      </c>
      <c r="M56" s="1" t="s">
        <v>174</v>
      </c>
      <c r="R56" s="10"/>
    </row>
    <row r="57" spans="1:22">
      <c r="A57" s="6" t="s">
        <v>33</v>
      </c>
      <c r="B57" s="6" t="s">
        <v>176</v>
      </c>
      <c r="C57" s="6" t="s">
        <v>176</v>
      </c>
      <c r="D57" s="13" t="s">
        <v>177</v>
      </c>
      <c r="E57" s="6" t="s">
        <v>176</v>
      </c>
      <c r="F57" s="14" t="s">
        <v>178</v>
      </c>
      <c r="G57" s="7"/>
      <c r="H57" s="1" t="s">
        <v>179</v>
      </c>
      <c r="I57" s="8"/>
      <c r="J57" s="8"/>
      <c r="K57" s="15" t="s">
        <v>180</v>
      </c>
      <c r="L57" s="6" t="s">
        <v>176</v>
      </c>
      <c r="M57" s="1" t="s">
        <v>69</v>
      </c>
      <c r="R57" s="10"/>
    </row>
    <row r="58" spans="1:22">
      <c r="A58" s="6" t="s">
        <v>33</v>
      </c>
      <c r="B58" s="6" t="s">
        <v>181</v>
      </c>
      <c r="C58" s="6" t="s">
        <v>181</v>
      </c>
      <c r="D58" s="13" t="s">
        <v>177</v>
      </c>
      <c r="E58" s="6" t="s">
        <v>181</v>
      </c>
      <c r="F58" s="14" t="s">
        <v>178</v>
      </c>
      <c r="G58" s="7"/>
      <c r="H58" s="1" t="s">
        <v>179</v>
      </c>
      <c r="I58" s="8"/>
      <c r="J58" s="8"/>
      <c r="K58" s="15" t="s">
        <v>180</v>
      </c>
      <c r="L58" s="6" t="s">
        <v>181</v>
      </c>
      <c r="M58" s="1" t="s">
        <v>69</v>
      </c>
      <c r="R58" s="10"/>
    </row>
    <row r="59" spans="1:22" s="32" customFormat="1">
      <c r="A59" s="28" t="s">
        <v>33</v>
      </c>
      <c r="B59" s="28" t="s">
        <v>182</v>
      </c>
      <c r="C59" s="28" t="s">
        <v>182</v>
      </c>
      <c r="D59" s="29" t="s">
        <v>177</v>
      </c>
      <c r="E59" s="28" t="s">
        <v>182</v>
      </c>
      <c r="F59" s="30" t="s">
        <v>183</v>
      </c>
      <c r="G59" s="31"/>
      <c r="H59" s="32" t="s">
        <v>184</v>
      </c>
      <c r="I59" s="33"/>
      <c r="J59" s="33"/>
      <c r="K59" s="34" t="s">
        <v>185</v>
      </c>
      <c r="L59" s="28" t="s">
        <v>182</v>
      </c>
      <c r="M59" s="32" t="s">
        <v>186</v>
      </c>
      <c r="R59" s="35"/>
      <c r="U59" s="46"/>
    </row>
    <row r="60" spans="1:22">
      <c r="A60" s="6" t="s">
        <v>33</v>
      </c>
      <c r="B60" s="6" t="s">
        <v>187</v>
      </c>
      <c r="C60" s="6" t="s">
        <v>187</v>
      </c>
      <c r="D60" s="13" t="s">
        <v>177</v>
      </c>
      <c r="E60" s="6" t="s">
        <v>187</v>
      </c>
      <c r="F60" s="14" t="s">
        <v>183</v>
      </c>
      <c r="G60" s="7"/>
      <c r="H60" s="1" t="s">
        <v>184</v>
      </c>
      <c r="I60" s="8"/>
      <c r="J60" s="8"/>
      <c r="K60" s="15" t="s">
        <v>185</v>
      </c>
      <c r="L60" s="6" t="s">
        <v>187</v>
      </c>
      <c r="M60" s="1" t="s">
        <v>188</v>
      </c>
      <c r="R60" s="10"/>
    </row>
    <row r="61" spans="1:22" s="32" customFormat="1">
      <c r="A61" s="27" t="s">
        <v>33</v>
      </c>
      <c r="B61" s="28" t="s">
        <v>189</v>
      </c>
      <c r="C61" s="28" t="s">
        <v>189</v>
      </c>
      <c r="D61" s="29" t="s">
        <v>177</v>
      </c>
      <c r="E61" s="28" t="s">
        <v>189</v>
      </c>
      <c r="F61" s="30" t="s">
        <v>183</v>
      </c>
      <c r="G61" s="31"/>
      <c r="H61" s="32" t="s">
        <v>184</v>
      </c>
      <c r="I61" s="33"/>
      <c r="J61" s="33"/>
      <c r="K61" s="34" t="s">
        <v>185</v>
      </c>
      <c r="L61" s="28" t="s">
        <v>189</v>
      </c>
      <c r="M61" s="32" t="s">
        <v>190</v>
      </c>
      <c r="R61" s="35"/>
      <c r="U61" s="46"/>
    </row>
    <row r="62" spans="1:22">
      <c r="A62" s="6" t="s">
        <v>33</v>
      </c>
      <c r="B62" s="6" t="s">
        <v>191</v>
      </c>
      <c r="C62" s="6" t="s">
        <v>191</v>
      </c>
      <c r="D62" s="13" t="s">
        <v>177</v>
      </c>
      <c r="E62" s="6" t="s">
        <v>191</v>
      </c>
      <c r="F62" s="14" t="s">
        <v>183</v>
      </c>
      <c r="G62" s="7"/>
      <c r="H62" s="1" t="s">
        <v>184</v>
      </c>
      <c r="I62" s="8"/>
      <c r="J62" s="8"/>
      <c r="K62" s="15" t="s">
        <v>185</v>
      </c>
      <c r="L62" s="6" t="s">
        <v>191</v>
      </c>
      <c r="M62" s="1" t="s">
        <v>168</v>
      </c>
      <c r="R62" s="10"/>
    </row>
    <row r="63" spans="1:22">
      <c r="A63" s="6" t="s">
        <v>33</v>
      </c>
      <c r="B63" s="6" t="s">
        <v>192</v>
      </c>
      <c r="C63" s="6" t="s">
        <v>192</v>
      </c>
      <c r="D63" s="13" t="s">
        <v>177</v>
      </c>
      <c r="E63" s="6" t="s">
        <v>192</v>
      </c>
      <c r="F63" s="14" t="s">
        <v>183</v>
      </c>
      <c r="G63" s="7"/>
      <c r="H63" s="1" t="s">
        <v>184</v>
      </c>
      <c r="I63" s="8"/>
      <c r="J63" s="8"/>
      <c r="K63" s="15" t="s">
        <v>185</v>
      </c>
      <c r="L63" s="6" t="s">
        <v>192</v>
      </c>
      <c r="M63" s="1" t="s">
        <v>193</v>
      </c>
      <c r="R63" s="10"/>
    </row>
    <row r="64" spans="1:22" s="32" customFormat="1">
      <c r="A64" s="28" t="s">
        <v>33</v>
      </c>
      <c r="B64" s="28" t="s">
        <v>194</v>
      </c>
      <c r="C64" s="28" t="s">
        <v>194</v>
      </c>
      <c r="D64" s="29" t="s">
        <v>193</v>
      </c>
      <c r="E64" s="28" t="s">
        <v>194</v>
      </c>
      <c r="F64" s="30" t="s">
        <v>193</v>
      </c>
      <c r="G64" s="31"/>
      <c r="I64" s="33"/>
      <c r="J64" s="33"/>
      <c r="K64" s="34" t="s">
        <v>193</v>
      </c>
      <c r="L64" s="28" t="s">
        <v>194</v>
      </c>
      <c r="M64" s="32" t="s">
        <v>195</v>
      </c>
      <c r="R64" s="35"/>
      <c r="U64" s="46"/>
    </row>
    <row r="65" spans="1:34">
      <c r="A65" s="6" t="s">
        <v>33</v>
      </c>
      <c r="B65" s="6" t="s">
        <v>196</v>
      </c>
      <c r="C65" s="6" t="s">
        <v>196</v>
      </c>
      <c r="D65" s="13" t="s">
        <v>177</v>
      </c>
      <c r="E65" s="6" t="s">
        <v>196</v>
      </c>
      <c r="F65" s="14" t="s">
        <v>183</v>
      </c>
      <c r="G65" s="7"/>
      <c r="H65" s="1" t="s">
        <v>184</v>
      </c>
      <c r="I65" s="8"/>
      <c r="J65" s="8"/>
      <c r="K65" s="15" t="s">
        <v>185</v>
      </c>
      <c r="L65" s="6" t="s">
        <v>196</v>
      </c>
      <c r="M65" s="1" t="s">
        <v>193</v>
      </c>
      <c r="R65" s="10"/>
    </row>
    <row r="66" spans="1:34">
      <c r="A66" s="6" t="s">
        <v>33</v>
      </c>
      <c r="B66" s="6" t="s">
        <v>197</v>
      </c>
      <c r="C66" s="6" t="s">
        <v>197</v>
      </c>
      <c r="D66" s="13" t="s">
        <v>177</v>
      </c>
      <c r="E66" s="6" t="s">
        <v>197</v>
      </c>
      <c r="F66" s="14" t="s">
        <v>183</v>
      </c>
      <c r="G66" s="7"/>
      <c r="H66" s="1" t="s">
        <v>184</v>
      </c>
      <c r="I66" s="8"/>
      <c r="J66" s="8"/>
      <c r="K66" s="15" t="s">
        <v>185</v>
      </c>
      <c r="L66" s="6" t="s">
        <v>197</v>
      </c>
      <c r="M66" s="22" t="s">
        <v>198</v>
      </c>
      <c r="R66" s="10"/>
    </row>
    <row r="67" spans="1:34">
      <c r="A67" s="6"/>
      <c r="B67" s="6"/>
      <c r="C67" s="6"/>
      <c r="D67" s="13"/>
      <c r="E67" s="6"/>
      <c r="F67" s="14"/>
      <c r="G67" s="7"/>
      <c r="I67" s="8"/>
      <c r="J67" s="8"/>
      <c r="K67" s="15"/>
      <c r="L67" s="6" t="s">
        <v>199</v>
      </c>
      <c r="M67" s="22" t="s">
        <v>198</v>
      </c>
      <c r="R67" s="10"/>
    </row>
    <row r="68" spans="1:34" s="32" customFormat="1">
      <c r="A68" s="28" t="s">
        <v>33</v>
      </c>
      <c r="B68" s="28" t="s">
        <v>200</v>
      </c>
      <c r="C68" s="28" t="s">
        <v>200</v>
      </c>
      <c r="D68" s="29" t="s">
        <v>177</v>
      </c>
      <c r="E68" s="28" t="s">
        <v>200</v>
      </c>
      <c r="F68" s="30" t="s">
        <v>183</v>
      </c>
      <c r="G68" s="31"/>
      <c r="H68" s="32" t="s">
        <v>184</v>
      </c>
      <c r="I68" s="33"/>
      <c r="J68" s="33"/>
      <c r="K68" s="34" t="s">
        <v>185</v>
      </c>
      <c r="L68" s="28" t="s">
        <v>200</v>
      </c>
      <c r="M68" s="32" t="s">
        <v>201</v>
      </c>
      <c r="N68" s="32" t="s">
        <v>202</v>
      </c>
      <c r="O68" s="32">
        <f>(11.7+4.1+2.3)/(100-72)</f>
        <v>0.64642857142857135</v>
      </c>
      <c r="P68" s="32">
        <v>0.28000000000000003</v>
      </c>
      <c r="Q68" s="32">
        <v>17.62</v>
      </c>
      <c r="R68" s="35" t="s">
        <v>65</v>
      </c>
      <c r="S68" s="32" t="s">
        <v>203</v>
      </c>
      <c r="T68" s="32" t="s">
        <v>204</v>
      </c>
      <c r="U68" s="46">
        <v>2.1040000000000001</v>
      </c>
      <c r="V68" s="32">
        <v>0.16400000000000001</v>
      </c>
      <c r="W68" s="32">
        <v>34894</v>
      </c>
      <c r="X68" s="32">
        <v>78.7</v>
      </c>
      <c r="Y68" s="32">
        <v>2.5</v>
      </c>
      <c r="AC68" s="32">
        <v>1.8049999999999999</v>
      </c>
      <c r="AD68" s="32">
        <v>0.21199999999999999</v>
      </c>
      <c r="AE68" s="32">
        <v>51.8</v>
      </c>
      <c r="AF68" s="32">
        <v>1.909</v>
      </c>
      <c r="AG68" s="32">
        <v>1.794</v>
      </c>
      <c r="AH68" s="32">
        <v>2.4049999999999998</v>
      </c>
    </row>
    <row r="69" spans="1:34" s="32" customFormat="1">
      <c r="A69" s="28" t="s">
        <v>33</v>
      </c>
      <c r="B69" s="28" t="s">
        <v>205</v>
      </c>
      <c r="C69" s="28" t="s">
        <v>205</v>
      </c>
      <c r="D69" s="29" t="s">
        <v>177</v>
      </c>
      <c r="E69" s="28" t="s">
        <v>205</v>
      </c>
      <c r="F69" s="30" t="s">
        <v>183</v>
      </c>
      <c r="G69" s="31"/>
      <c r="H69" s="32" t="s">
        <v>184</v>
      </c>
      <c r="I69" s="33"/>
      <c r="J69" s="33"/>
      <c r="K69" s="34" t="s">
        <v>185</v>
      </c>
      <c r="L69" s="28" t="s">
        <v>205</v>
      </c>
      <c r="M69" s="32" t="s">
        <v>206</v>
      </c>
      <c r="N69" s="32" t="s">
        <v>207</v>
      </c>
      <c r="O69" s="32">
        <f>(54.3+10)/(100-33.3)</f>
        <v>0.9640179910044977</v>
      </c>
      <c r="P69" s="32">
        <v>0.14000000000000001</v>
      </c>
      <c r="Q69" s="32">
        <v>19.649999999999999</v>
      </c>
      <c r="R69" s="35" t="s">
        <v>65</v>
      </c>
      <c r="S69" s="32" t="s">
        <v>66</v>
      </c>
      <c r="T69" s="32" t="s">
        <v>208</v>
      </c>
      <c r="U69" s="46">
        <v>1.627</v>
      </c>
      <c r="V69" s="32">
        <v>0.22700000000000001</v>
      </c>
      <c r="W69" s="32">
        <v>30015</v>
      </c>
      <c r="X69" s="32">
        <v>94.7</v>
      </c>
      <c r="Y69" s="32">
        <v>18</v>
      </c>
      <c r="AC69" s="32">
        <v>1.64</v>
      </c>
      <c r="AD69" s="32">
        <v>0.191</v>
      </c>
      <c r="AE69" s="32">
        <v>84.5</v>
      </c>
      <c r="AF69" s="32">
        <v>1.673</v>
      </c>
      <c r="AG69" s="32">
        <v>1.673</v>
      </c>
      <c r="AH69" s="32">
        <v>1.663</v>
      </c>
    </row>
    <row r="70" spans="1:34" s="50" customFormat="1">
      <c r="A70" s="47" t="s">
        <v>33</v>
      </c>
      <c r="B70" s="48" t="s">
        <v>209</v>
      </c>
      <c r="C70" s="48" t="s">
        <v>209</v>
      </c>
      <c r="D70" s="49" t="s">
        <v>210</v>
      </c>
      <c r="E70" s="48" t="s">
        <v>209</v>
      </c>
      <c r="F70" s="50" t="s">
        <v>183</v>
      </c>
      <c r="G70" s="51"/>
      <c r="H70" s="50" t="s">
        <v>184</v>
      </c>
      <c r="I70" s="51"/>
      <c r="J70" s="51"/>
      <c r="K70" s="52" t="s">
        <v>185</v>
      </c>
      <c r="L70" s="48" t="s">
        <v>209</v>
      </c>
      <c r="M70" s="50" t="s">
        <v>211</v>
      </c>
      <c r="N70" s="50" t="s">
        <v>212</v>
      </c>
      <c r="O70" s="50">
        <f>(20.2+5)/(100-68.8)</f>
        <v>0.8076923076923076</v>
      </c>
      <c r="P70" s="50">
        <v>0.25</v>
      </c>
      <c r="Q70" s="50">
        <v>20.94</v>
      </c>
      <c r="R70" s="53" t="s">
        <v>65</v>
      </c>
      <c r="S70" s="50" t="s">
        <v>66</v>
      </c>
      <c r="T70" s="50" t="s">
        <v>213</v>
      </c>
      <c r="U70" s="50">
        <v>1.5669999999999999</v>
      </c>
      <c r="V70" s="50">
        <v>0.22700000000000001</v>
      </c>
      <c r="W70" s="50">
        <v>33253</v>
      </c>
      <c r="X70" s="50">
        <v>94.3</v>
      </c>
      <c r="Y70" s="50">
        <v>13.7</v>
      </c>
      <c r="AC70" s="50">
        <v>1.5349999999999999</v>
      </c>
      <c r="AD70" s="50">
        <v>0.219</v>
      </c>
      <c r="AE70" s="50">
        <v>86.6</v>
      </c>
      <c r="AF70" s="50">
        <v>1.56</v>
      </c>
      <c r="AG70" s="50">
        <v>1.56</v>
      </c>
      <c r="AH70" s="50">
        <v>1.534</v>
      </c>
    </row>
    <row r="71" spans="1:34">
      <c r="A71" s="6" t="s">
        <v>33</v>
      </c>
      <c r="B71" s="6" t="s">
        <v>214</v>
      </c>
      <c r="C71" s="6" t="s">
        <v>214</v>
      </c>
      <c r="D71" s="13" t="s">
        <v>215</v>
      </c>
      <c r="E71" s="6" t="s">
        <v>214</v>
      </c>
      <c r="F71" s="14" t="s">
        <v>216</v>
      </c>
      <c r="G71" s="7"/>
      <c r="H71" s="1" t="s">
        <v>217</v>
      </c>
      <c r="I71" s="7"/>
      <c r="J71" s="7"/>
      <c r="K71" s="15" t="s">
        <v>185</v>
      </c>
      <c r="L71" s="6" t="s">
        <v>214</v>
      </c>
      <c r="R71" s="10"/>
    </row>
    <row r="72" spans="1:34">
      <c r="A72" s="6" t="s">
        <v>33</v>
      </c>
      <c r="B72" s="6" t="s">
        <v>218</v>
      </c>
      <c r="C72" s="6" t="s">
        <v>218</v>
      </c>
      <c r="D72" s="13" t="s">
        <v>215</v>
      </c>
      <c r="E72" s="6" t="s">
        <v>218</v>
      </c>
      <c r="F72" s="14" t="s">
        <v>216</v>
      </c>
      <c r="G72" s="7"/>
      <c r="H72" s="1" t="s">
        <v>217</v>
      </c>
      <c r="I72" s="7"/>
      <c r="J72" s="7"/>
      <c r="K72" s="15" t="s">
        <v>185</v>
      </c>
      <c r="L72" s="6" t="s">
        <v>218</v>
      </c>
      <c r="R72" s="10"/>
    </row>
    <row r="73" spans="1:34">
      <c r="A73" s="6" t="s">
        <v>33</v>
      </c>
      <c r="B73" s="6" t="s">
        <v>219</v>
      </c>
      <c r="C73" s="6" t="s">
        <v>219</v>
      </c>
      <c r="D73" s="1" t="s">
        <v>215</v>
      </c>
      <c r="E73" s="6" t="s">
        <v>219</v>
      </c>
      <c r="F73" s="1" t="s">
        <v>220</v>
      </c>
      <c r="G73" s="7"/>
      <c r="H73" s="1" t="s">
        <v>221</v>
      </c>
      <c r="I73" s="7"/>
      <c r="J73" s="7"/>
      <c r="K73" s="9" t="s">
        <v>185</v>
      </c>
      <c r="L73" s="6" t="s">
        <v>219</v>
      </c>
      <c r="R73" s="10"/>
    </row>
    <row r="74" spans="1:34">
      <c r="A74" s="6" t="s">
        <v>33</v>
      </c>
      <c r="B74" s="6" t="s">
        <v>222</v>
      </c>
      <c r="C74" s="6" t="s">
        <v>222</v>
      </c>
      <c r="D74" s="1" t="s">
        <v>215</v>
      </c>
      <c r="E74" s="6" t="s">
        <v>222</v>
      </c>
      <c r="F74" s="1" t="s">
        <v>220</v>
      </c>
      <c r="G74" s="7"/>
      <c r="H74" s="1" t="s">
        <v>221</v>
      </c>
      <c r="I74" s="7"/>
      <c r="J74" s="7"/>
      <c r="K74" s="9" t="s">
        <v>185</v>
      </c>
      <c r="L74" s="6" t="s">
        <v>222</v>
      </c>
      <c r="R74" s="10"/>
    </row>
    <row r="75" spans="1:34">
      <c r="A75" s="6" t="s">
        <v>33</v>
      </c>
      <c r="B75" s="6" t="s">
        <v>223</v>
      </c>
      <c r="C75" s="6" t="s">
        <v>223</v>
      </c>
      <c r="D75" s="1" t="s">
        <v>215</v>
      </c>
      <c r="E75" s="6" t="s">
        <v>223</v>
      </c>
      <c r="F75" s="1" t="s">
        <v>220</v>
      </c>
      <c r="G75" s="7"/>
      <c r="H75" s="1" t="s">
        <v>221</v>
      </c>
      <c r="I75" s="7"/>
      <c r="J75" s="7"/>
      <c r="K75" s="9" t="s">
        <v>185</v>
      </c>
      <c r="L75" s="6" t="s">
        <v>223</v>
      </c>
      <c r="R75" s="10"/>
    </row>
    <row r="76" spans="1:34">
      <c r="A76" s="6" t="s">
        <v>33</v>
      </c>
      <c r="B76" s="6" t="s">
        <v>224</v>
      </c>
      <c r="C76" s="6" t="s">
        <v>224</v>
      </c>
      <c r="D76" s="1" t="s">
        <v>215</v>
      </c>
      <c r="E76" s="6" t="s">
        <v>224</v>
      </c>
      <c r="F76" s="1" t="s">
        <v>220</v>
      </c>
      <c r="G76" s="7"/>
      <c r="H76" s="1" t="s">
        <v>221</v>
      </c>
      <c r="I76" s="7"/>
      <c r="J76" s="7"/>
      <c r="K76" s="9" t="s">
        <v>185</v>
      </c>
      <c r="L76" s="6" t="s">
        <v>224</v>
      </c>
      <c r="R76" s="10"/>
    </row>
    <row r="77" spans="1:34">
      <c r="A77" s="6" t="s">
        <v>33</v>
      </c>
      <c r="B77" s="6" t="s">
        <v>225</v>
      </c>
      <c r="C77" s="6" t="s">
        <v>225</v>
      </c>
      <c r="D77" s="1" t="s">
        <v>215</v>
      </c>
      <c r="E77" s="6" t="s">
        <v>225</v>
      </c>
      <c r="F77" s="1" t="s">
        <v>220</v>
      </c>
      <c r="G77" s="7"/>
      <c r="H77" s="1" t="s">
        <v>221</v>
      </c>
      <c r="I77" s="7"/>
      <c r="J77" s="7"/>
      <c r="K77" s="9" t="s">
        <v>185</v>
      </c>
      <c r="L77" s="6" t="s">
        <v>225</v>
      </c>
      <c r="R77" s="10"/>
    </row>
    <row r="78" spans="1:34">
      <c r="A78" s="11" t="s">
        <v>33</v>
      </c>
      <c r="B78" s="6" t="s">
        <v>226</v>
      </c>
      <c r="C78" s="6" t="s">
        <v>226</v>
      </c>
      <c r="D78" s="1" t="s">
        <v>227</v>
      </c>
      <c r="E78" s="6" t="s">
        <v>226</v>
      </c>
      <c r="F78" s="1" t="s">
        <v>71</v>
      </c>
      <c r="G78" s="7"/>
      <c r="H78" s="1" t="s">
        <v>228</v>
      </c>
      <c r="I78" s="7"/>
      <c r="J78" s="7"/>
      <c r="K78" s="9" t="s">
        <v>185</v>
      </c>
      <c r="L78" s="6" t="s">
        <v>226</v>
      </c>
      <c r="R78" s="10"/>
    </row>
    <row r="79" spans="1:34">
      <c r="A79" s="6" t="s">
        <v>33</v>
      </c>
      <c r="B79" s="6" t="s">
        <v>229</v>
      </c>
      <c r="C79" s="6" t="s">
        <v>229</v>
      </c>
      <c r="D79" s="1" t="s">
        <v>227</v>
      </c>
      <c r="E79" s="6" t="s">
        <v>229</v>
      </c>
      <c r="F79" s="1" t="s">
        <v>230</v>
      </c>
      <c r="G79" s="7"/>
      <c r="H79" s="1" t="s">
        <v>231</v>
      </c>
      <c r="I79" s="7"/>
      <c r="J79" s="16"/>
      <c r="K79" s="9" t="s">
        <v>185</v>
      </c>
      <c r="L79" s="6" t="s">
        <v>229</v>
      </c>
      <c r="R79" s="10"/>
    </row>
    <row r="80" spans="1:34" s="32" customFormat="1">
      <c r="A80" s="28" t="s">
        <v>33</v>
      </c>
      <c r="B80" s="28" t="s">
        <v>232</v>
      </c>
      <c r="C80" s="28" t="s">
        <v>232</v>
      </c>
      <c r="D80" s="32" t="s">
        <v>227</v>
      </c>
      <c r="E80" s="28" t="s">
        <v>232</v>
      </c>
      <c r="F80" s="32" t="s">
        <v>230</v>
      </c>
      <c r="G80" s="31"/>
      <c r="H80" s="32" t="s">
        <v>231</v>
      </c>
      <c r="I80" s="31"/>
      <c r="J80" s="36"/>
      <c r="K80" s="37" t="s">
        <v>185</v>
      </c>
      <c r="L80" s="28" t="s">
        <v>232</v>
      </c>
      <c r="M80" s="32" t="s">
        <v>233</v>
      </c>
      <c r="N80" s="32" t="s">
        <v>234</v>
      </c>
      <c r="R80" s="35"/>
      <c r="U80" s="46"/>
    </row>
    <row r="81" spans="1:34" s="32" customFormat="1">
      <c r="A81" s="28" t="s">
        <v>33</v>
      </c>
      <c r="B81" s="28" t="s">
        <v>235</v>
      </c>
      <c r="C81" s="28" t="s">
        <v>235</v>
      </c>
      <c r="D81" s="32" t="s">
        <v>227</v>
      </c>
      <c r="E81" s="28" t="s">
        <v>235</v>
      </c>
      <c r="F81" s="32" t="s">
        <v>230</v>
      </c>
      <c r="G81" s="31"/>
      <c r="H81" s="32" t="s">
        <v>231</v>
      </c>
      <c r="I81" s="31"/>
      <c r="J81" s="31"/>
      <c r="K81" s="37" t="s">
        <v>185</v>
      </c>
      <c r="L81" s="28" t="s">
        <v>235</v>
      </c>
      <c r="M81" s="32" t="s">
        <v>236</v>
      </c>
      <c r="N81" s="32" t="s">
        <v>234</v>
      </c>
      <c r="R81" s="35"/>
      <c r="U81" s="46"/>
    </row>
    <row r="82" spans="1:34">
      <c r="A82" s="6" t="s">
        <v>33</v>
      </c>
      <c r="B82" s="6" t="s">
        <v>237</v>
      </c>
      <c r="C82" s="6" t="s">
        <v>237</v>
      </c>
      <c r="D82" s="1" t="s">
        <v>227</v>
      </c>
      <c r="E82" s="6" t="s">
        <v>237</v>
      </c>
      <c r="F82" s="1" t="s">
        <v>230</v>
      </c>
      <c r="G82" s="7"/>
      <c r="H82" s="1" t="s">
        <v>231</v>
      </c>
      <c r="I82" s="7"/>
      <c r="J82" s="7"/>
      <c r="K82" s="9" t="s">
        <v>185</v>
      </c>
      <c r="L82" s="6" t="s">
        <v>237</v>
      </c>
      <c r="M82" s="1" t="s">
        <v>238</v>
      </c>
      <c r="R82" s="10"/>
    </row>
    <row r="83" spans="1:34">
      <c r="A83" s="6" t="s">
        <v>33</v>
      </c>
      <c r="B83" s="6" t="s">
        <v>239</v>
      </c>
      <c r="C83" s="6" t="s">
        <v>239</v>
      </c>
      <c r="D83" s="1" t="s">
        <v>227</v>
      </c>
      <c r="E83" s="6" t="s">
        <v>239</v>
      </c>
      <c r="F83" s="1" t="s">
        <v>230</v>
      </c>
      <c r="G83" s="7"/>
      <c r="H83" s="1" t="s">
        <v>231</v>
      </c>
      <c r="I83" s="7"/>
      <c r="J83" s="7"/>
      <c r="K83" s="9" t="s">
        <v>185</v>
      </c>
      <c r="L83" s="6" t="s">
        <v>239</v>
      </c>
      <c r="M83" s="1" t="s">
        <v>238</v>
      </c>
      <c r="R83" s="10"/>
    </row>
    <row r="84" spans="1:34">
      <c r="A84" s="6" t="s">
        <v>33</v>
      </c>
      <c r="B84" s="6" t="s">
        <v>240</v>
      </c>
      <c r="C84" s="6" t="s">
        <v>240</v>
      </c>
      <c r="D84" s="1" t="s">
        <v>227</v>
      </c>
      <c r="E84" s="6" t="s">
        <v>240</v>
      </c>
      <c r="F84" s="1" t="s">
        <v>230</v>
      </c>
      <c r="G84" s="7"/>
      <c r="H84" s="1" t="s">
        <v>231</v>
      </c>
      <c r="I84" s="7"/>
      <c r="J84" s="7"/>
      <c r="K84" s="9" t="s">
        <v>185</v>
      </c>
      <c r="L84" s="6" t="s">
        <v>240</v>
      </c>
      <c r="M84" s="1" t="s">
        <v>74</v>
      </c>
      <c r="R84" s="10"/>
    </row>
    <row r="85" spans="1:34">
      <c r="A85" s="6" t="s">
        <v>33</v>
      </c>
      <c r="B85" s="6" t="s">
        <v>241</v>
      </c>
      <c r="C85" s="6" t="s">
        <v>241</v>
      </c>
      <c r="D85" s="1" t="s">
        <v>227</v>
      </c>
      <c r="E85" s="6" t="s">
        <v>241</v>
      </c>
      <c r="F85" s="1" t="s">
        <v>230</v>
      </c>
      <c r="G85" s="7"/>
      <c r="H85" s="1" t="s">
        <v>231</v>
      </c>
      <c r="I85" s="7"/>
      <c r="J85" s="7"/>
      <c r="K85" s="9" t="s">
        <v>185</v>
      </c>
      <c r="L85" s="6" t="s">
        <v>241</v>
      </c>
      <c r="M85" s="1" t="s">
        <v>74</v>
      </c>
      <c r="R85" s="10"/>
    </row>
    <row r="86" spans="1:34">
      <c r="A86" s="11" t="s">
        <v>33</v>
      </c>
      <c r="B86" s="6" t="s">
        <v>242</v>
      </c>
      <c r="C86" s="54" t="s">
        <v>242</v>
      </c>
      <c r="D86" s="46" t="s">
        <v>243</v>
      </c>
      <c r="E86" s="6" t="s">
        <v>242</v>
      </c>
      <c r="F86" s="1" t="s">
        <v>244</v>
      </c>
      <c r="G86" s="7"/>
      <c r="H86" s="1" t="s">
        <v>245</v>
      </c>
      <c r="I86" s="7"/>
      <c r="J86" s="7"/>
      <c r="K86" s="9" t="s">
        <v>180</v>
      </c>
      <c r="L86" s="6" t="s">
        <v>242</v>
      </c>
      <c r="M86" s="1" t="s">
        <v>69</v>
      </c>
      <c r="R86" s="10"/>
    </row>
    <row r="87" spans="1:34">
      <c r="A87" s="6" t="s">
        <v>33</v>
      </c>
      <c r="B87" s="6" t="s">
        <v>246</v>
      </c>
      <c r="C87" s="54" t="s">
        <v>246</v>
      </c>
      <c r="D87" s="46" t="s">
        <v>243</v>
      </c>
      <c r="E87" s="6" t="s">
        <v>246</v>
      </c>
      <c r="F87" s="1" t="s">
        <v>244</v>
      </c>
      <c r="G87" s="7"/>
      <c r="H87" s="1" t="s">
        <v>245</v>
      </c>
      <c r="I87" s="7"/>
      <c r="J87" s="7"/>
      <c r="K87" s="9" t="s">
        <v>180</v>
      </c>
      <c r="L87" s="6" t="s">
        <v>246</v>
      </c>
      <c r="M87" s="1" t="s">
        <v>69</v>
      </c>
      <c r="R87" s="10"/>
    </row>
    <row r="88" spans="1:34" s="32" customFormat="1">
      <c r="A88" s="28" t="s">
        <v>33</v>
      </c>
      <c r="B88" s="28" t="s">
        <v>247</v>
      </c>
      <c r="C88" s="54" t="s">
        <v>247</v>
      </c>
      <c r="D88" s="46" t="s">
        <v>243</v>
      </c>
      <c r="E88" s="28" t="s">
        <v>247</v>
      </c>
      <c r="F88" s="32" t="s">
        <v>244</v>
      </c>
      <c r="G88" s="31"/>
      <c r="H88" s="32" t="s">
        <v>245</v>
      </c>
      <c r="I88" s="31"/>
      <c r="J88" s="31"/>
      <c r="K88" s="37" t="s">
        <v>180</v>
      </c>
      <c r="L88" s="28" t="s">
        <v>247</v>
      </c>
      <c r="M88" s="32" t="s">
        <v>248</v>
      </c>
      <c r="N88" s="32" t="s">
        <v>249</v>
      </c>
      <c r="R88" s="35"/>
      <c r="U88" s="46"/>
    </row>
    <row r="89" spans="1:34">
      <c r="A89" s="6" t="s">
        <v>33</v>
      </c>
      <c r="B89" s="6" t="s">
        <v>250</v>
      </c>
      <c r="C89" s="54" t="s">
        <v>250</v>
      </c>
      <c r="D89" s="46" t="s">
        <v>243</v>
      </c>
      <c r="E89" s="6" t="s">
        <v>250</v>
      </c>
      <c r="F89" s="1" t="s">
        <v>244</v>
      </c>
      <c r="G89" s="7"/>
      <c r="H89" s="1" t="s">
        <v>245</v>
      </c>
      <c r="I89" s="7"/>
      <c r="J89" s="7"/>
      <c r="K89" s="9" t="s">
        <v>180</v>
      </c>
      <c r="L89" s="6" t="s">
        <v>250</v>
      </c>
      <c r="M89" s="1" t="s">
        <v>39</v>
      </c>
      <c r="N89" s="1" t="s">
        <v>251</v>
      </c>
      <c r="R89" s="10"/>
    </row>
    <row r="90" spans="1:34" s="32" customFormat="1">
      <c r="A90" s="28" t="s">
        <v>33</v>
      </c>
      <c r="B90" s="28" t="s">
        <v>252</v>
      </c>
      <c r="C90" s="54" t="s">
        <v>252</v>
      </c>
      <c r="D90" s="46" t="s">
        <v>243</v>
      </c>
      <c r="E90" s="28" t="s">
        <v>252</v>
      </c>
      <c r="F90" s="32" t="s">
        <v>244</v>
      </c>
      <c r="G90" s="31"/>
      <c r="H90" s="32" t="s">
        <v>245</v>
      </c>
      <c r="I90" s="31"/>
      <c r="J90" s="31"/>
      <c r="K90" s="37" t="s">
        <v>180</v>
      </c>
      <c r="L90" s="28" t="s">
        <v>252</v>
      </c>
      <c r="M90" s="32" t="s">
        <v>253</v>
      </c>
      <c r="N90" s="32" t="s">
        <v>249</v>
      </c>
      <c r="R90" s="35"/>
      <c r="U90" s="46"/>
    </row>
    <row r="91" spans="1:34">
      <c r="A91" s="6" t="s">
        <v>33</v>
      </c>
      <c r="B91" s="6" t="s">
        <v>254</v>
      </c>
      <c r="C91" s="54" t="s">
        <v>254</v>
      </c>
      <c r="D91" s="46" t="s">
        <v>243</v>
      </c>
      <c r="E91" s="6" t="s">
        <v>254</v>
      </c>
      <c r="F91" s="1" t="s">
        <v>244</v>
      </c>
      <c r="G91" s="7"/>
      <c r="H91" s="1" t="s">
        <v>245</v>
      </c>
      <c r="I91" s="7"/>
      <c r="J91" s="7"/>
      <c r="K91" s="9" t="s">
        <v>180</v>
      </c>
      <c r="L91" s="6" t="s">
        <v>254</v>
      </c>
      <c r="M91" s="1" t="s">
        <v>39</v>
      </c>
      <c r="R91" s="10"/>
    </row>
    <row r="92" spans="1:34">
      <c r="A92" s="6" t="s">
        <v>33</v>
      </c>
      <c r="B92" s="6" t="s">
        <v>255</v>
      </c>
      <c r="C92" s="54" t="s">
        <v>255</v>
      </c>
      <c r="D92" s="46" t="s">
        <v>243</v>
      </c>
      <c r="E92" s="6" t="s">
        <v>255</v>
      </c>
      <c r="F92" s="1" t="s">
        <v>244</v>
      </c>
      <c r="G92" s="7"/>
      <c r="H92" s="1" t="s">
        <v>245</v>
      </c>
      <c r="I92" s="7"/>
      <c r="J92" s="7"/>
      <c r="K92" s="9" t="s">
        <v>256</v>
      </c>
      <c r="L92" s="6" t="s">
        <v>255</v>
      </c>
      <c r="M92" s="1" t="s">
        <v>44</v>
      </c>
      <c r="R92" s="10"/>
    </row>
    <row r="93" spans="1:34" s="32" customFormat="1">
      <c r="A93" s="28" t="s">
        <v>33</v>
      </c>
      <c r="B93" s="28" t="s">
        <v>257</v>
      </c>
      <c r="C93" s="54" t="s">
        <v>257</v>
      </c>
      <c r="D93" s="46" t="s">
        <v>243</v>
      </c>
      <c r="E93" s="28" t="s">
        <v>257</v>
      </c>
      <c r="F93" s="32" t="s">
        <v>244</v>
      </c>
      <c r="G93" s="31"/>
      <c r="H93" s="32" t="s">
        <v>258</v>
      </c>
      <c r="I93" s="31"/>
      <c r="J93" s="31"/>
      <c r="K93" s="37" t="s">
        <v>180</v>
      </c>
      <c r="L93" s="28" t="s">
        <v>257</v>
      </c>
      <c r="M93" s="32" t="s">
        <v>259</v>
      </c>
      <c r="R93" s="35"/>
      <c r="U93" s="46"/>
    </row>
    <row r="94" spans="1:34">
      <c r="A94" s="11" t="s">
        <v>33</v>
      </c>
      <c r="B94" s="6" t="s">
        <v>260</v>
      </c>
      <c r="C94" s="54" t="s">
        <v>260</v>
      </c>
      <c r="D94" s="46" t="s">
        <v>243</v>
      </c>
      <c r="E94" s="6" t="s">
        <v>260</v>
      </c>
      <c r="F94" s="1" t="s">
        <v>244</v>
      </c>
      <c r="G94" s="7"/>
      <c r="H94" s="1" t="s">
        <v>258</v>
      </c>
      <c r="I94" s="7"/>
      <c r="J94" s="7"/>
      <c r="K94" s="9" t="s">
        <v>180</v>
      </c>
      <c r="L94" s="6" t="s">
        <v>260</v>
      </c>
      <c r="M94" s="1" t="s">
        <v>44</v>
      </c>
      <c r="R94" s="10"/>
    </row>
    <row r="95" spans="1:34">
      <c r="A95" s="6" t="s">
        <v>33</v>
      </c>
      <c r="B95" s="6" t="s">
        <v>261</v>
      </c>
      <c r="C95" s="54" t="s">
        <v>261</v>
      </c>
      <c r="D95" s="46" t="s">
        <v>243</v>
      </c>
      <c r="E95" s="6" t="s">
        <v>261</v>
      </c>
      <c r="F95" s="1" t="s">
        <v>244</v>
      </c>
      <c r="G95" s="7"/>
      <c r="H95" s="1" t="s">
        <v>258</v>
      </c>
      <c r="I95" s="7"/>
      <c r="J95" s="7"/>
      <c r="K95" s="9" t="s">
        <v>180</v>
      </c>
      <c r="L95" s="6" t="s">
        <v>261</v>
      </c>
      <c r="M95" s="1" t="s">
        <v>44</v>
      </c>
      <c r="R95" s="10"/>
    </row>
    <row r="96" spans="1:34" s="22" customFormat="1">
      <c r="A96" s="38" t="s">
        <v>33</v>
      </c>
      <c r="B96" s="38" t="s">
        <v>262</v>
      </c>
      <c r="C96" s="38" t="s">
        <v>262</v>
      </c>
      <c r="D96" s="22" t="s">
        <v>81</v>
      </c>
      <c r="E96" s="38" t="s">
        <v>262</v>
      </c>
      <c r="F96" s="22" t="s">
        <v>82</v>
      </c>
      <c r="G96" s="39"/>
      <c r="H96" s="22" t="s">
        <v>83</v>
      </c>
      <c r="I96" s="39"/>
      <c r="J96" s="39"/>
      <c r="K96" s="40" t="s">
        <v>263</v>
      </c>
      <c r="L96" s="38" t="s">
        <v>262</v>
      </c>
      <c r="M96" s="22" t="s">
        <v>264</v>
      </c>
      <c r="N96" s="22" t="s">
        <v>86</v>
      </c>
      <c r="O96" s="22">
        <f>(15.8+7.9+4.7)/(100-59.4)</f>
        <v>0.69950738916256161</v>
      </c>
      <c r="P96" s="22">
        <v>0.52</v>
      </c>
      <c r="Q96" s="22">
        <v>33.17</v>
      </c>
      <c r="R96" s="41" t="s">
        <v>65</v>
      </c>
      <c r="S96" s="22" t="s">
        <v>66</v>
      </c>
      <c r="T96" s="22" t="s">
        <v>265</v>
      </c>
      <c r="U96" s="46">
        <v>1.796</v>
      </c>
      <c r="V96" s="22">
        <v>5.7000000000000002E-2</v>
      </c>
      <c r="W96" s="22">
        <v>25067</v>
      </c>
      <c r="X96" s="22">
        <v>92.1</v>
      </c>
      <c r="Y96" s="22">
        <v>9.1</v>
      </c>
      <c r="AC96" s="22">
        <v>1.762</v>
      </c>
      <c r="AD96" s="22">
        <v>5.3999999999999999E-2</v>
      </c>
      <c r="AE96" s="22">
        <v>73.7</v>
      </c>
      <c r="AF96" s="22">
        <v>1.78</v>
      </c>
      <c r="AG96" s="22">
        <v>1.78</v>
      </c>
      <c r="AH96" s="22" t="s">
        <v>266</v>
      </c>
    </row>
    <row r="97" spans="1:18">
      <c r="A97" s="6" t="s">
        <v>33</v>
      </c>
      <c r="B97" s="6" t="s">
        <v>267</v>
      </c>
      <c r="C97" s="6" t="s">
        <v>267</v>
      </c>
      <c r="D97" s="1" t="s">
        <v>81</v>
      </c>
      <c r="E97" s="6" t="s">
        <v>267</v>
      </c>
      <c r="F97" s="1" t="s">
        <v>82</v>
      </c>
      <c r="G97" s="7"/>
      <c r="H97" s="1" t="s">
        <v>83</v>
      </c>
      <c r="I97" s="7"/>
      <c r="J97" s="7"/>
      <c r="K97" s="9" t="s">
        <v>263</v>
      </c>
      <c r="L97" s="6" t="s">
        <v>267</v>
      </c>
      <c r="M97" s="1" t="s">
        <v>268</v>
      </c>
      <c r="N97" s="1" t="s">
        <v>269</v>
      </c>
      <c r="R97" s="10"/>
    </row>
    <row r="98" spans="1:18">
      <c r="A98" s="6" t="s">
        <v>33</v>
      </c>
      <c r="B98" s="6" t="s">
        <v>270</v>
      </c>
      <c r="C98" s="6" t="s">
        <v>270</v>
      </c>
      <c r="D98" s="1" t="s">
        <v>81</v>
      </c>
      <c r="E98" s="6" t="s">
        <v>270</v>
      </c>
      <c r="F98" s="1" t="s">
        <v>82</v>
      </c>
      <c r="G98" s="7"/>
      <c r="H98" s="1" t="s">
        <v>83</v>
      </c>
      <c r="I98" s="7"/>
      <c r="J98" s="7"/>
      <c r="K98" s="9" t="s">
        <v>263</v>
      </c>
      <c r="L98" s="6" t="s">
        <v>270</v>
      </c>
      <c r="M98" s="26" t="s">
        <v>271</v>
      </c>
      <c r="N98" s="1" t="s">
        <v>86</v>
      </c>
      <c r="R98" s="10"/>
    </row>
    <row r="99" spans="1:18">
      <c r="A99" s="6" t="s">
        <v>33</v>
      </c>
      <c r="B99" s="6" t="s">
        <v>272</v>
      </c>
      <c r="C99" s="6" t="s">
        <v>272</v>
      </c>
      <c r="D99" s="1" t="s">
        <v>81</v>
      </c>
      <c r="E99" s="6" t="s">
        <v>272</v>
      </c>
      <c r="F99" s="1" t="s">
        <v>82</v>
      </c>
      <c r="G99" s="7"/>
      <c r="H99" s="1" t="s">
        <v>83</v>
      </c>
      <c r="I99" s="7"/>
      <c r="J99" s="7"/>
      <c r="K99" s="9" t="s">
        <v>263</v>
      </c>
      <c r="L99" s="6" t="s">
        <v>272</v>
      </c>
      <c r="M99" s="1" t="s">
        <v>273</v>
      </c>
      <c r="R99" s="10"/>
    </row>
    <row r="100" spans="1:18">
      <c r="A100" s="6" t="s">
        <v>33</v>
      </c>
      <c r="B100" s="6" t="s">
        <v>274</v>
      </c>
      <c r="C100" s="6" t="s">
        <v>274</v>
      </c>
      <c r="D100" s="1" t="s">
        <v>81</v>
      </c>
      <c r="E100" s="6" t="s">
        <v>274</v>
      </c>
      <c r="F100" s="1" t="s">
        <v>82</v>
      </c>
      <c r="G100" s="7"/>
      <c r="H100" s="1" t="s">
        <v>83</v>
      </c>
      <c r="I100" s="8"/>
      <c r="J100" s="8"/>
      <c r="K100" s="9" t="s">
        <v>263</v>
      </c>
      <c r="L100" s="6" t="s">
        <v>274</v>
      </c>
      <c r="M100" s="1" t="s">
        <v>275</v>
      </c>
      <c r="R100" s="10"/>
    </row>
    <row r="101" spans="1:18">
      <c r="A101" s="17" t="s">
        <v>33</v>
      </c>
      <c r="B101" s="17" t="s">
        <v>276</v>
      </c>
      <c r="C101" s="17" t="s">
        <v>276</v>
      </c>
      <c r="D101" s="18" t="s">
        <v>81</v>
      </c>
      <c r="E101" s="17" t="s">
        <v>276</v>
      </c>
      <c r="F101" s="18" t="s">
        <v>82</v>
      </c>
      <c r="G101" s="19"/>
      <c r="H101" s="18" t="s">
        <v>83</v>
      </c>
      <c r="I101" s="20"/>
      <c r="J101" s="20"/>
      <c r="K101" s="21" t="s">
        <v>263</v>
      </c>
      <c r="L101" s="17" t="s">
        <v>276</v>
      </c>
      <c r="R101" s="1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Brigham Young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Pedroza Romo</dc:creator>
  <cp:keywords/>
  <dc:description/>
  <cp:lastModifiedBy>David Bennett</cp:lastModifiedBy>
  <cp:revision/>
  <dcterms:created xsi:type="dcterms:W3CDTF">2024-06-11T18:05:51Z</dcterms:created>
  <dcterms:modified xsi:type="dcterms:W3CDTF">2026-07-13T18:55:07Z</dcterms:modified>
  <cp:category/>
  <cp:contentStatus/>
</cp:coreProperties>
</file>