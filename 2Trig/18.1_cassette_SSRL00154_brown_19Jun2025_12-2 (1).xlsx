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Users\jdm255\Downloads\"/>
    </mc:Choice>
  </mc:AlternateContent>
  <xr:revisionPtr revIDLastSave="1141" documentId="13_ncr:1_{FDDCF8D9-C49F-4671-99B8-CC1BF9E764C1}" xr6:coauthVersionLast="47" xr6:coauthVersionMax="47" xr10:uidLastSave="{7833E120-CBCB-418C-90CE-A90864D530BB}"/>
  <bookViews>
    <workbookView xWindow="-108" yWindow="-108" windowWidth="23256" windowHeight="12456" xr2:uid="{516B200E-035C-46AE-9D44-4BBC62D002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</calcChain>
</file>

<file path=xl/sharedStrings.xml><?xml version="1.0" encoding="utf-8"?>
<sst xmlns="http://schemas.openxmlformats.org/spreadsheetml/2006/main" count="1041" uniqueCount="328">
  <si>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</si>
  <si>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</si>
  <si>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</si>
  <si>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</si>
  <si>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</si>
  <si>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</si>
  <si>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</si>
  <si>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</si>
  <si>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</si>
  <si>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</si>
  <si>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</si>
  <si>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</si>
  <si>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</si>
  <si>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</si>
  <si>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 estimate</t>
  </si>
  <si>
    <t>final ISa</t>
  </si>
  <si>
    <t>Frames deleted</t>
  </si>
  <si>
    <t>space group</t>
  </si>
  <si>
    <t>unit cell</t>
  </si>
  <si>
    <t>iso resolution</t>
  </si>
  <si>
    <t>iso rmeas</t>
  </si>
  <si>
    <t>iso num uniq reflections</t>
  </si>
  <si>
    <t>norm to symmetry</t>
  </si>
  <si>
    <t>iso overall % completeness</t>
  </si>
  <si>
    <t>iso overall redundancy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</si>
  <si>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</si>
  <si>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</si>
  <si>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</si>
  <si>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</si>
  <si>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</si>
  <si>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</si>
  <si>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searched for?</t>
  </si>
  <si>
    <t>LLG</t>
  </si>
  <si>
    <t>TFZ</t>
  </si>
  <si>
    <t>fit to dens</t>
  </si>
  <si>
    <t>poly seen, termini match?</t>
  </si>
  <si>
    <t>SSRL00154</t>
  </si>
  <si>
    <t>A1</t>
  </si>
  <si>
    <t>10xHis-1T-TV-vWa</t>
  </si>
  <si>
    <t>Spheroid</t>
  </si>
  <si>
    <t>Wizard Screen 5.15.25 H11 Bottom Left</t>
  </si>
  <si>
    <t>Maria</t>
  </si>
  <si>
    <t>Salt</t>
  </si>
  <si>
    <t>A2</t>
  </si>
  <si>
    <t>A3</t>
  </si>
  <si>
    <t>2Trig-1T-SR-DARPin</t>
  </si>
  <si>
    <t>Plates</t>
  </si>
  <si>
    <t>SaltRX Screen 5.9.25 E1 Top Left</t>
  </si>
  <si>
    <t>Empty</t>
  </si>
  <si>
    <t>A4</t>
  </si>
  <si>
    <t>Collected, not great</t>
  </si>
  <si>
    <t>Poor</t>
  </si>
  <si>
    <t>P6</t>
  </si>
  <si>
    <t>80.593 80.593 56.541 90.0 90.0 120.0</t>
  </si>
  <si>
    <t>A5</t>
  </si>
  <si>
    <t>Ice</t>
  </si>
  <si>
    <t>A6</t>
  </si>
  <si>
    <t>2.4 vis, smeary, collected</t>
  </si>
  <si>
    <t>P62</t>
  </si>
  <si>
    <t>83.223 83.223 58.652 90.0 90.0 120.0</t>
  </si>
  <si>
    <t xml:space="preserve">cd </t>
  </si>
  <si>
    <t>A7</t>
  </si>
  <si>
    <t xml:space="preserve">2.5A vis, collected </t>
  </si>
  <si>
    <t>P61</t>
  </si>
  <si>
    <t>83.388 83.388 59.307 90.0 90.0 120.0</t>
  </si>
  <si>
    <t>A8</t>
  </si>
  <si>
    <t>2.65A vis, collected</t>
  </si>
  <si>
    <t>P63</t>
  </si>
  <si>
    <t>83.326 83.326 58.915 90.0 90.0 120.0</t>
  </si>
  <si>
    <t>B1</t>
  </si>
  <si>
    <t>3.4A vis, poor diffraction, collected</t>
  </si>
  <si>
    <t>83.504 83.504 59.013 90.0 90.0 120.0</t>
  </si>
  <si>
    <t>B2</t>
  </si>
  <si>
    <t>Poor diffraction</t>
  </si>
  <si>
    <t>B3</t>
  </si>
  <si>
    <t>Gems</t>
  </si>
  <si>
    <t>PEGION Screen 5.9.25 D7 Top Left</t>
  </si>
  <si>
    <t>ice, 2.25A vis, collected</t>
  </si>
  <si>
    <t>Ok</t>
  </si>
  <si>
    <t>82.428 82.428 56.906 90.0 90.0 120.0</t>
  </si>
  <si>
    <t>B4</t>
  </si>
  <si>
    <t xml:space="preserve">ice, 3.5A vis, collected </t>
  </si>
  <si>
    <t>poor</t>
  </si>
  <si>
    <t>80.555 80.555 56.914 90.0 90.0 120.0</t>
  </si>
  <si>
    <t>B5</t>
  </si>
  <si>
    <t>2.5A vis, collected</t>
  </si>
  <si>
    <t>good</t>
  </si>
  <si>
    <t>80.748 80.748 57.123 90.0 90.0 120.0</t>
  </si>
  <si>
    <t>B6</t>
  </si>
  <si>
    <t>Empty loop</t>
  </si>
  <si>
    <t>B7</t>
  </si>
  <si>
    <t>80.421 80.421 57.678 90.0 90.0 120.0</t>
  </si>
  <si>
    <t>B8</t>
  </si>
  <si>
    <t>2Trig-1TEL-SR-DARPin</t>
  </si>
  <si>
    <t>Sliver</t>
  </si>
  <si>
    <t>Index 5.9.25 F6 15mgmL</t>
  </si>
  <si>
    <t>Eli W</t>
  </si>
  <si>
    <t>Ice, no diffraction</t>
  </si>
  <si>
    <t>C1</t>
  </si>
  <si>
    <t>No crystal</t>
  </si>
  <si>
    <t>C2</t>
  </si>
  <si>
    <t>2.97A vis, difficult to allign, collected, recollected</t>
  </si>
  <si>
    <t>P21</t>
  </si>
  <si>
    <t>83.582 56.732 83.667 90.00 119.91 90.00</t>
  </si>
  <si>
    <t>C2Collect2</t>
  </si>
  <si>
    <t>83.874 83.874 57.113 90.0 90.0 120.0</t>
  </si>
  <si>
    <t>C3</t>
  </si>
  <si>
    <t>ice, 2.8A vis, collected</t>
  </si>
  <si>
    <t>80.834 80.834 56.534 90.0 90.0 120.0</t>
  </si>
  <si>
    <t>C4</t>
  </si>
  <si>
    <t>Thick rods</t>
  </si>
  <si>
    <t>Index 5.9.25 F9 1mgmL</t>
  </si>
  <si>
    <t>Jacob A</t>
  </si>
  <si>
    <t>ice,  2.51 vis, collected</t>
  </si>
  <si>
    <t xml:space="preserve"> 81.132 81.132 57.714 90.0 90.0 120.0</t>
  </si>
  <si>
    <t>C5</t>
  </si>
  <si>
    <t>ice, no crystal?</t>
  </si>
  <si>
    <t>C6</t>
  </si>
  <si>
    <t>Weather pane stir bars</t>
  </si>
  <si>
    <t>Index 5.9.25 F9 15mgmL</t>
  </si>
  <si>
    <t xml:space="preserve">2.26A, collected </t>
  </si>
  <si>
    <t xml:space="preserve"> 83.382 83.382 57.469 90.0 90.0 120.0</t>
  </si>
  <si>
    <t>C7</t>
  </si>
  <si>
    <t>C8</t>
  </si>
  <si>
    <t>D1</t>
  </si>
  <si>
    <t>D2</t>
  </si>
  <si>
    <t>ice, 2.90A vis, collect</t>
  </si>
  <si>
    <t>P41212</t>
  </si>
  <si>
    <t>78.538 78.538 36.993 90.0 90.0 90.0</t>
  </si>
  <si>
    <t>Forced to P65</t>
  </si>
  <si>
    <t>Good</t>
  </si>
  <si>
    <t>P1</t>
  </si>
  <si>
    <t>36.957 78.447 78.514 89.901 89.963 89.969</t>
  </si>
  <si>
    <t>D3</t>
  </si>
  <si>
    <t>ice, no crystal</t>
  </si>
  <si>
    <t>D4</t>
  </si>
  <si>
    <t>collected, 2.2 A vis</t>
  </si>
  <si>
    <t xml:space="preserve"> P61</t>
  </si>
  <si>
    <t>84.012 84.012 58.440 90.0 90.0 120.0</t>
  </si>
  <si>
    <t>D5</t>
  </si>
  <si>
    <t>Root Beer Barrel</t>
  </si>
  <si>
    <t>collected,1.9 vis, overlaped patterns,broken periodicity?</t>
  </si>
  <si>
    <t>83.763 83.763 57.902 90.0 90.0 120.0</t>
  </si>
  <si>
    <t>D6</t>
  </si>
  <si>
    <t>empty loop</t>
  </si>
  <si>
    <t>D7</t>
  </si>
  <si>
    <t xml:space="preserve"> </t>
  </si>
  <si>
    <t>PEGION 5.9.25 H2 15mgmL</t>
  </si>
  <si>
    <t>1.92 A Vis, Collected</t>
  </si>
  <si>
    <t>Okay</t>
  </si>
  <si>
    <t>83.024 83.024 56.843 90.0 90.0 120.0</t>
  </si>
  <si>
    <t>D8</t>
  </si>
  <si>
    <t>Thick root beer barrels</t>
  </si>
  <si>
    <t>2.4 A Vis, Icy</t>
  </si>
  <si>
    <t>E1</t>
  </si>
  <si>
    <t>some ice,3A vis, smeary</t>
  </si>
  <si>
    <t>80.603 80.603 56.656 90.0 90.0 120.0</t>
  </si>
  <si>
    <t>E2</t>
  </si>
  <si>
    <t>Thick root beer barrel</t>
  </si>
  <si>
    <t>Miles B</t>
  </si>
  <si>
    <t>no crystal?no diffraction</t>
  </si>
  <si>
    <t>E3</t>
  </si>
  <si>
    <t>Thick prism</t>
  </si>
  <si>
    <t>no ice, collected at 3.2A</t>
  </si>
  <si>
    <t>82.712 82.712 55.344 90.0 90.0 120.0</t>
  </si>
  <si>
    <t>E4</t>
  </si>
  <si>
    <t>Hexagonal plate</t>
  </si>
  <si>
    <t>PEGION 5.9.25 D3 15mgmL</t>
  </si>
  <si>
    <t>no ice, collected at 2A,smeary</t>
  </si>
  <si>
    <t>80.976 80.976 57.312 90.0 90.0 120.0</t>
  </si>
  <si>
    <t>E5</t>
  </si>
  <si>
    <t>no ice, collected at 2A,less smeary</t>
  </si>
  <si>
    <t>80.857 80.857 56.877 90.0 90.0 120.0</t>
  </si>
  <si>
    <t>E6</t>
  </si>
  <si>
    <t>some ice, no diffraction</t>
  </si>
  <si>
    <t>E7</t>
  </si>
  <si>
    <t>some ice, 2.4A vis</t>
  </si>
  <si>
    <t xml:space="preserve"> 81.236 56.936 81.954 90.000 119.351 90.000</t>
  </si>
  <si>
    <t>E8</t>
  </si>
  <si>
    <t>Blake A</t>
  </si>
  <si>
    <t>80.608 80.608 56.418 90.0 90.0 120.0</t>
  </si>
  <si>
    <t>F1</t>
  </si>
  <si>
    <t>F2</t>
  </si>
  <si>
    <t>Eli A</t>
  </si>
  <si>
    <t>F3</t>
  </si>
  <si>
    <t>F4</t>
  </si>
  <si>
    <t>Multifaceted prism</t>
  </si>
  <si>
    <t>PEGION 5.9.25 E11 15mgmL</t>
  </si>
  <si>
    <t>some ice,2Avis</t>
  </si>
  <si>
    <t>83.983 83.983 59.130 90.0 90.0 120.0</t>
  </si>
  <si>
    <t>F5</t>
  </si>
  <si>
    <t>Mushroom</t>
  </si>
  <si>
    <t>less ice,2Avis</t>
  </si>
  <si>
    <t>83.810 83.810 58.888 90.0 90.0 120.0</t>
  </si>
  <si>
    <t>F6</t>
  </si>
  <si>
    <t>no ice 2A</t>
  </si>
  <si>
    <t>83.741 83.741 58.558 90.0 90.0 120.0</t>
  </si>
  <si>
    <t>F7</t>
  </si>
  <si>
    <t>Prism</t>
  </si>
  <si>
    <t>no ice 3.2A</t>
  </si>
  <si>
    <t>83.847 83.847 58.971 90.0 90.0 120.0</t>
  </si>
  <si>
    <t>F7_Collect_15microns</t>
  </si>
  <si>
    <t>84.082 84.082 58.797 90.0 90.0 120.0</t>
  </si>
  <si>
    <t>F8</t>
  </si>
  <si>
    <t>Collected</t>
  </si>
  <si>
    <t>83.769 83.769 57.232 90.0 90.0 120.0</t>
  </si>
  <si>
    <t>G1</t>
  </si>
  <si>
    <t>Tzanko, Wisdom (4.2A vis, not collected)</t>
  </si>
  <si>
    <t>G2</t>
  </si>
  <si>
    <t>Coffin</t>
  </si>
  <si>
    <t>PEGION 5.9.25 G8 15mgmL</t>
  </si>
  <si>
    <t>Tzanko</t>
  </si>
  <si>
    <t>G3</t>
  </si>
  <si>
    <t>81.210 81.210 57.987 90.0 90.0 120.0</t>
  </si>
  <si>
    <t>G4</t>
  </si>
  <si>
    <t>82.378 82.378 56.200 90.0 90.0 120.0</t>
  </si>
  <si>
    <t>G5</t>
  </si>
  <si>
    <t>Prism thing</t>
  </si>
  <si>
    <t>PEGION 5.9.25 D5 15mgmL</t>
  </si>
  <si>
    <t>83.649 83.649 58.452 90.0 90.0 120.0</t>
  </si>
  <si>
    <t>G6</t>
  </si>
  <si>
    <t>10xHis-1TEL-SR-DARPin</t>
  </si>
  <si>
    <t>Hexagonal Prism</t>
  </si>
  <si>
    <t>Xtal 5.10.25 A3 15mgmL</t>
  </si>
  <si>
    <t>83.526 83.526 58.188 90.0 90.0 120.0</t>
  </si>
  <si>
    <t>G7</t>
  </si>
  <si>
    <t>Salt RX 5.10.25 F1 15mg</t>
  </si>
  <si>
    <t>G8</t>
  </si>
  <si>
    <t>Tzanko (fat crystal no diffraction)</t>
  </si>
  <si>
    <t>H1</t>
  </si>
  <si>
    <t>Collected, 2.0A vis</t>
  </si>
  <si>
    <t>80.701 80.701 58.148 90.0 90.0 120.0</t>
  </si>
  <si>
    <t>H2</t>
  </si>
  <si>
    <t>Collected, 1.9A vis</t>
  </si>
  <si>
    <t>83.690 83.690 58.491 90.0 90.0 120.0</t>
  </si>
  <si>
    <t>1 copy</t>
  </si>
  <si>
    <t>P65</t>
  </si>
  <si>
    <t>83.69 83.69 58.491 90 90 120</t>
  </si>
  <si>
    <t>H3</t>
  </si>
  <si>
    <t>Salt RX 5.10.25 F1 1mg</t>
  </si>
  <si>
    <t>Jacob</t>
  </si>
  <si>
    <t>Collected, 1.2A Vis</t>
  </si>
  <si>
    <t>83.505 83.505 58.097 90.0 90.0 120.0</t>
  </si>
  <si>
    <t>H3_Collect2</t>
  </si>
  <si>
    <t xml:space="preserve">  P1</t>
  </si>
  <si>
    <t>58.224 83.664 83.632 60.021 89.939 89.932</t>
  </si>
  <si>
    <t>H4</t>
  </si>
  <si>
    <t>Collected, 1.7A vis</t>
  </si>
  <si>
    <t>83.33 83.33 57.75 90.0 90.0 120.0</t>
  </si>
  <si>
    <t>H5</t>
  </si>
  <si>
    <t>H6</t>
  </si>
  <si>
    <t>empty loop/some salt</t>
  </si>
  <si>
    <t>H7</t>
  </si>
  <si>
    <t>Salt RX 5.10.25 F1 20mg</t>
  </si>
  <si>
    <t>ice</t>
  </si>
  <si>
    <t>H8</t>
  </si>
  <si>
    <t>Thick Hexagonal Plate</t>
  </si>
  <si>
    <t>Peg Ion D8 20mg</t>
  </si>
  <si>
    <t>I1</t>
  </si>
  <si>
    <t>rhombic</t>
  </si>
  <si>
    <t>Xtal A9 20mg</t>
  </si>
  <si>
    <t>I2</t>
  </si>
  <si>
    <t>Rod</t>
  </si>
  <si>
    <t>Xtal D1 15mg</t>
  </si>
  <si>
    <t>2.12A vis, collected</t>
  </si>
  <si>
    <t>83.846 83.846 58.441 90.0 90.0 120.0</t>
  </si>
  <si>
    <t>I3</t>
  </si>
  <si>
    <t>ice, empty</t>
  </si>
  <si>
    <t>I4</t>
  </si>
  <si>
    <t>Needle</t>
  </si>
  <si>
    <t>Xtal F3 15mg</t>
  </si>
  <si>
    <t>weak diffraction, tiny crystal</t>
  </si>
  <si>
    <t>I5</t>
  </si>
  <si>
    <t>I6</t>
  </si>
  <si>
    <t>I7</t>
  </si>
  <si>
    <t>Thin Rods</t>
  </si>
  <si>
    <t>Xtal D1 20mg</t>
  </si>
  <si>
    <t>weak diffraction, 4.5A</t>
  </si>
  <si>
    <t>I8</t>
  </si>
  <si>
    <t>weak diffraction, 4.05A</t>
  </si>
  <si>
    <t>J1</t>
  </si>
  <si>
    <t>10xHis-sfGFP-Med-1TEL-SR-DARPin</t>
  </si>
  <si>
    <t>Xtal 5.30.25 A12 20mg</t>
  </si>
  <si>
    <t>J2</t>
  </si>
  <si>
    <t>small rod</t>
  </si>
  <si>
    <t>ice, 4.4A weak diffraction</t>
  </si>
  <si>
    <t>J3</t>
  </si>
  <si>
    <t>3.98A, weak diffraction</t>
  </si>
  <si>
    <t>J4</t>
  </si>
  <si>
    <t>Ice, 2.3A vis, Collected</t>
  </si>
  <si>
    <t>82.950 82.950 57.349 90.0 90.0 120.0</t>
  </si>
  <si>
    <t>J5</t>
  </si>
  <si>
    <t>J6</t>
  </si>
  <si>
    <t>J7</t>
  </si>
  <si>
    <t>Some smeary diffraction, may be salt</t>
  </si>
  <si>
    <t>J8</t>
  </si>
  <si>
    <t>K1</t>
  </si>
  <si>
    <t>Few spots, may be salt</t>
  </si>
  <si>
    <t>K2</t>
  </si>
  <si>
    <t>Minimal diffraction, smeary</t>
  </si>
  <si>
    <t>K3</t>
  </si>
  <si>
    <t>empty</t>
  </si>
  <si>
    <t>K4</t>
  </si>
  <si>
    <t>Too few spots, smeary</t>
  </si>
  <si>
    <t>K5</t>
  </si>
  <si>
    <t>Gumdrop</t>
  </si>
  <si>
    <t>Wizard 5.9.25 F9 15mgmL</t>
  </si>
  <si>
    <t>Collected, 1.85A Vis</t>
  </si>
  <si>
    <t>83.627 83.627 58.489 90.0 90.0 120.0</t>
  </si>
  <si>
    <t>K6</t>
  </si>
  <si>
    <t xml:space="preserve">2Trig-1TEL-TV-vWa </t>
  </si>
  <si>
    <t>Small Oval</t>
  </si>
  <si>
    <t>PEG Ion 6.3.25 A7 20mg</t>
  </si>
  <si>
    <t>K7</t>
  </si>
  <si>
    <t>K8</t>
  </si>
  <si>
    <t>Ice, no crystal</t>
  </si>
  <si>
    <t>L1</t>
  </si>
  <si>
    <t>L2</t>
  </si>
  <si>
    <t>L3</t>
  </si>
  <si>
    <t>L4</t>
  </si>
  <si>
    <t>L5</t>
  </si>
  <si>
    <t>L6</t>
  </si>
  <si>
    <t>L7</t>
  </si>
  <si>
    <t>10xHis-VPS34_RD-I-86</t>
  </si>
  <si>
    <t>Square</t>
  </si>
  <si>
    <t>Wizard Screen_C12_7mg</t>
  </si>
  <si>
    <t>Wisdom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</si>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</sst>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ptos Display"/>
      <scheme val="maj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horizontal="center"/>
    </xf>
    <xf numFmtId="164" fontId="1" fillId="0" borderId="1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3" fillId="0" borderId="2" xfId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1" fillId="2" borderId="0" xfId="1" applyNumberFormat="1" applyFill="1" applyAlignment="1">
      <alignment horizontal="center"/>
    </xf>
    <xf numFmtId="0" fontId="5" fillId="0" borderId="0" xfId="0" applyFont="1" applyAlignment="1">
      <alignment horizontal="center" vertical="center" textRotation="90" wrapText="1"/>
    </xf>
    <xf numFmtId="164" fontId="1" fillId="3" borderId="1" xfId="1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2" xfId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1" fillId="4" borderId="1" xfId="1" applyNumberFormat="1" applyFill="1" applyBorder="1" applyAlignment="1">
      <alignment horizontal="center"/>
    </xf>
    <xf numFmtId="0" fontId="1" fillId="4" borderId="2" xfId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164" fontId="1" fillId="0" borderId="3" xfId="1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4" xfId="1" applyBorder="1" applyAlignment="1">
      <alignment horizontal="center"/>
    </xf>
    <xf numFmtId="0" fontId="3" fillId="0" borderId="4" xfId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49" fontId="1" fillId="2" borderId="0" xfId="1" applyNumberForma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1" fillId="0" borderId="6" xfId="1" applyNumberFormat="1" applyBorder="1" applyAlignment="1">
      <alignment horizontal="center"/>
    </xf>
    <xf numFmtId="49" fontId="1" fillId="3" borderId="6" xfId="1" applyNumberFormat="1" applyFill="1" applyBorder="1" applyAlignment="1">
      <alignment horizontal="center"/>
    </xf>
    <xf numFmtId="49" fontId="1" fillId="4" borderId="6" xfId="1" applyNumberFormat="1" applyFill="1" applyBorder="1" applyAlignment="1">
      <alignment horizontal="center"/>
    </xf>
    <xf numFmtId="49" fontId="1" fillId="0" borderId="7" xfId="1" applyNumberFormat="1" applyBorder="1" applyAlignment="1">
      <alignment horizontal="center"/>
    </xf>
    <xf numFmtId="49" fontId="1" fillId="0" borderId="8" xfId="1" applyNumberFormat="1" applyBorder="1" applyAlignment="1">
      <alignment horizontal="center"/>
    </xf>
    <xf numFmtId="49" fontId="1" fillId="3" borderId="8" xfId="1" applyNumberFormat="1" applyFill="1" applyBorder="1" applyAlignment="1">
      <alignment horizontal="center"/>
    </xf>
    <xf numFmtId="49" fontId="1" fillId="4" borderId="8" xfId="1" applyNumberFormat="1" applyFill="1" applyBorder="1" applyAlignment="1">
      <alignment horizontal="center"/>
    </xf>
    <xf numFmtId="49" fontId="1" fillId="0" borderId="9" xfId="1" applyNumberFormat="1" applyBorder="1" applyAlignment="1">
      <alignment horizontal="center"/>
    </xf>
    <xf numFmtId="49" fontId="1" fillId="2" borderId="0" xfId="1" applyNumberForma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6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3" borderId="6" xfId="1" applyFill="1" applyBorder="1" applyAlignment="1">
      <alignment horizontal="center"/>
    </xf>
    <xf numFmtId="0" fontId="3" fillId="3" borderId="6" xfId="1" applyFont="1" applyFill="1" applyBorder="1" applyAlignment="1">
      <alignment horizontal="center"/>
    </xf>
    <xf numFmtId="0" fontId="3" fillId="4" borderId="6" xfId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1" fillId="0" borderId="10" xfId="1" applyNumberFormat="1" applyBorder="1" applyAlignment="1">
      <alignment horizontal="center"/>
    </xf>
    <xf numFmtId="49" fontId="1" fillId="0" borderId="11" xfId="1" applyNumberFormat="1" applyBorder="1" applyAlignment="1">
      <alignment horizontal="center"/>
    </xf>
    <xf numFmtId="49" fontId="1" fillId="0" borderId="12" xfId="1" applyNumberFormat="1" applyBorder="1" applyAlignment="1">
      <alignment horizontal="center"/>
    </xf>
    <xf numFmtId="49" fontId="1" fillId="0" borderId="13" xfId="1" applyNumberFormat="1" applyBorder="1" applyAlignment="1">
      <alignment horizontal="center"/>
    </xf>
    <xf numFmtId="49" fontId="1" fillId="0" borderId="14" xfId="1" applyNumberFormat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5" fillId="5" borderId="0" xfId="0" applyFont="1" applyFill="1" applyAlignment="1">
      <alignment horizontal="center" vertical="center" textRotation="90" wrapText="1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/>
    </xf>
  </cellXfs>
  <cellStyles count="2">
    <cellStyle name="Normal" xfId="0" builtinId="0"/>
    <cellStyle name="Normal 2" xfId="1" xr:uid="{38F1AF1B-A5FB-4707-9BAB-8BC0043793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D9D8-FB70-42D9-8635-7C4468A990E4}">
  <dimension ref="A1:AJ102"/>
  <sheetViews>
    <sheetView tabSelected="1" workbookViewId="0">
      <pane ySplit="1" topLeftCell="A81" activePane="bottomLeft" state="frozen"/>
      <selection pane="bottomLeft" activeCell="T10" sqref="T10"/>
    </sheetView>
  </sheetViews>
  <sheetFormatPr defaultColWidth="9.140625" defaultRowHeight="13.15"/>
  <cols>
    <col min="1" max="1" width="11.7109375" style="1" bestFit="1" customWidth="1"/>
    <col min="2" max="2" width="4.42578125" style="1" bestFit="1" customWidth="1"/>
    <col min="3" max="3" width="8.5703125" style="31" bestFit="1" customWidth="1"/>
    <col min="4" max="4" width="37" style="1" bestFit="1" customWidth="1"/>
    <col min="5" max="5" width="8.42578125" style="31" bestFit="1" customWidth="1"/>
    <col min="6" max="6" width="31.85546875" style="1" bestFit="1" customWidth="1"/>
    <col min="7" max="7" width="12.42578125" style="1" bestFit="1" customWidth="1"/>
    <col min="8" max="8" width="34.85546875" style="1" bestFit="1" customWidth="1"/>
    <col min="9" max="9" width="5.5703125" style="1" bestFit="1" customWidth="1"/>
    <col min="10" max="10" width="6.85546875" style="1" bestFit="1" customWidth="1"/>
    <col min="11" max="11" width="10.28515625" style="41" bestFit="1" customWidth="1"/>
    <col min="12" max="12" width="42.42578125" style="1" customWidth="1"/>
    <col min="13" max="13" width="19.28515625" style="1" hidden="1" customWidth="1"/>
    <col min="14" max="14" width="5.5703125" style="1" hidden="1" customWidth="1"/>
    <col min="15" max="15" width="12.85546875" style="1" hidden="1" customWidth="1"/>
    <col min="16" max="16" width="7.140625" style="1" hidden="1" customWidth="1"/>
    <col min="17" max="17" width="9.42578125" style="1" hidden="1" customWidth="1"/>
    <col min="18" max="18" width="9.140625" style="1"/>
    <col min="19" max="19" width="38.85546875" style="1" hidden="1" customWidth="1"/>
    <col min="20" max="20" width="9.140625" style="67"/>
    <col min="21" max="16384" width="9.140625" style="1"/>
  </cols>
  <sheetData>
    <row r="1" spans="1:36" ht="63.75" customHeight="1">
      <c r="A1" s="8" t="s">
        <v>0</v>
      </c>
      <c r="B1" s="8" t="s">
        <v>1</v>
      </c>
      <c r="C1" s="30" t="s">
        <v>2</v>
      </c>
      <c r="D1" s="8" t="s">
        <v>3</v>
      </c>
      <c r="E1" s="30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40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65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</row>
    <row r="2" spans="1:36" s="64" customFormat="1">
      <c r="A2" s="56" t="s">
        <v>36</v>
      </c>
      <c r="B2" s="57" t="s">
        <v>37</v>
      </c>
      <c r="C2" s="58" t="s">
        <v>37</v>
      </c>
      <c r="D2" s="59" t="s">
        <v>38</v>
      </c>
      <c r="E2" s="58" t="s">
        <v>37</v>
      </c>
      <c r="F2" s="60" t="s">
        <v>39</v>
      </c>
      <c r="G2" s="61"/>
      <c r="H2" s="61" t="s">
        <v>40</v>
      </c>
      <c r="I2" s="61"/>
      <c r="J2" s="62"/>
      <c r="K2" s="63" t="s">
        <v>41</v>
      </c>
      <c r="L2" s="64" t="s">
        <v>42</v>
      </c>
      <c r="T2" s="66"/>
    </row>
    <row r="3" spans="1:36">
      <c r="A3" s="2" t="s">
        <v>36</v>
      </c>
      <c r="B3" s="32" t="s">
        <v>43</v>
      </c>
      <c r="C3" s="36" t="s">
        <v>43</v>
      </c>
      <c r="D3" s="1" t="s">
        <v>38</v>
      </c>
      <c r="E3" s="36" t="s">
        <v>43</v>
      </c>
      <c r="F3" s="1" t="s">
        <v>39</v>
      </c>
      <c r="G3" s="3"/>
      <c r="H3" s="1" t="s">
        <v>40</v>
      </c>
      <c r="I3" s="4"/>
      <c r="J3" s="42"/>
      <c r="K3" s="49" t="s">
        <v>41</v>
      </c>
      <c r="L3" s="1" t="s">
        <v>42</v>
      </c>
      <c r="Q3" s="5"/>
    </row>
    <row r="4" spans="1:36">
      <c r="A4" s="2" t="s">
        <v>36</v>
      </c>
      <c r="B4" s="32" t="s">
        <v>44</v>
      </c>
      <c r="C4" s="36" t="s">
        <v>44</v>
      </c>
      <c r="D4" s="1" t="s">
        <v>45</v>
      </c>
      <c r="E4" s="36" t="s">
        <v>44</v>
      </c>
      <c r="F4" s="1" t="s">
        <v>46</v>
      </c>
      <c r="G4" s="3"/>
      <c r="H4" s="1" t="s">
        <v>47</v>
      </c>
      <c r="I4" s="3"/>
      <c r="J4" s="43"/>
      <c r="K4" s="49" t="s">
        <v>41</v>
      </c>
      <c r="L4" s="1" t="s">
        <v>48</v>
      </c>
      <c r="Q4" s="5"/>
    </row>
    <row r="5" spans="1:36" s="11" customFormat="1">
      <c r="A5" s="10" t="s">
        <v>36</v>
      </c>
      <c r="B5" s="33" t="s">
        <v>49</v>
      </c>
      <c r="C5" s="37" t="s">
        <v>49</v>
      </c>
      <c r="D5" s="11" t="s">
        <v>45</v>
      </c>
      <c r="E5" s="37" t="s">
        <v>49</v>
      </c>
      <c r="F5" s="11" t="s">
        <v>46</v>
      </c>
      <c r="G5" s="12"/>
      <c r="H5" s="11" t="s">
        <v>47</v>
      </c>
      <c r="I5" s="12"/>
      <c r="J5" s="44"/>
      <c r="K5" s="50" t="s">
        <v>41</v>
      </c>
      <c r="L5" s="11" t="s">
        <v>50</v>
      </c>
      <c r="M5" s="11" t="s">
        <v>51</v>
      </c>
      <c r="N5" s="11">
        <v>0.27800000000000002</v>
      </c>
      <c r="O5" s="11">
        <v>0.4</v>
      </c>
      <c r="P5" s="11">
        <v>12.36</v>
      </c>
      <c r="Q5" s="17">
        <v>0</v>
      </c>
      <c r="R5" s="11" t="s">
        <v>52</v>
      </c>
      <c r="S5" s="11" t="s">
        <v>53</v>
      </c>
      <c r="T5" s="67">
        <v>2.3410000000000002</v>
      </c>
      <c r="U5" s="11">
        <v>0.4</v>
      </c>
      <c r="V5" s="11">
        <v>8600</v>
      </c>
      <c r="X5" s="11">
        <v>96.1</v>
      </c>
      <c r="Y5" s="11">
        <v>19.2</v>
      </c>
      <c r="Z5" s="11">
        <v>2.286</v>
      </c>
      <c r="AA5" s="11">
        <v>0.33700000000000002</v>
      </c>
      <c r="AB5" s="11">
        <v>63.5</v>
      </c>
      <c r="AC5" s="11">
        <v>2.302</v>
      </c>
      <c r="AD5" s="11">
        <v>2.302</v>
      </c>
      <c r="AE5" s="11">
        <v>3.1720000000000002</v>
      </c>
    </row>
    <row r="6" spans="1:36">
      <c r="A6" s="2" t="s">
        <v>36</v>
      </c>
      <c r="B6" s="32" t="s">
        <v>54</v>
      </c>
      <c r="C6" s="36" t="s">
        <v>54</v>
      </c>
      <c r="D6" s="1" t="s">
        <v>45</v>
      </c>
      <c r="E6" s="36" t="s">
        <v>54</v>
      </c>
      <c r="F6" s="1" t="s">
        <v>46</v>
      </c>
      <c r="G6" s="3"/>
      <c r="H6" s="1" t="s">
        <v>47</v>
      </c>
      <c r="I6" s="3"/>
      <c r="J6" s="43"/>
      <c r="K6" s="49" t="s">
        <v>41</v>
      </c>
      <c r="L6" s="1" t="s">
        <v>55</v>
      </c>
      <c r="Q6" s="5"/>
    </row>
    <row r="7" spans="1:36" s="11" customFormat="1">
      <c r="A7" s="10" t="s">
        <v>36</v>
      </c>
      <c r="B7" s="33" t="s">
        <v>56</v>
      </c>
      <c r="C7" s="37" t="s">
        <v>56</v>
      </c>
      <c r="D7" s="11" t="s">
        <v>45</v>
      </c>
      <c r="E7" s="37" t="s">
        <v>56</v>
      </c>
      <c r="F7" s="11" t="s">
        <v>46</v>
      </c>
      <c r="G7" s="12"/>
      <c r="H7" s="11" t="s">
        <v>47</v>
      </c>
      <c r="I7" s="12"/>
      <c r="J7" s="44"/>
      <c r="K7" s="50" t="s">
        <v>41</v>
      </c>
      <c r="L7" s="11" t="s">
        <v>57</v>
      </c>
      <c r="M7" s="11" t="s">
        <v>51</v>
      </c>
      <c r="N7" s="11">
        <v>0.67200000000000004</v>
      </c>
      <c r="O7" s="11">
        <v>0.25</v>
      </c>
      <c r="P7" s="11">
        <v>9.94</v>
      </c>
      <c r="Q7" s="17">
        <v>115</v>
      </c>
      <c r="R7" s="11" t="s">
        <v>58</v>
      </c>
      <c r="S7" s="11" t="s">
        <v>59</v>
      </c>
      <c r="T7" s="67" t="s">
        <v>60</v>
      </c>
      <c r="U7" s="11">
        <v>0.24099999999999999</v>
      </c>
      <c r="V7" s="11">
        <v>25002</v>
      </c>
      <c r="X7" s="11">
        <v>100</v>
      </c>
      <c r="Y7" s="11">
        <v>19.399999999999999</v>
      </c>
      <c r="Z7" s="11">
        <v>1.7330000000000001</v>
      </c>
      <c r="AA7" s="11">
        <v>0.224</v>
      </c>
      <c r="AB7" s="11">
        <v>88.3</v>
      </c>
      <c r="AC7" s="11">
        <v>1.756</v>
      </c>
      <c r="AD7" s="11">
        <v>1.756</v>
      </c>
      <c r="AE7" s="11">
        <v>1.806</v>
      </c>
    </row>
    <row r="8" spans="1:36" s="11" customFormat="1" ht="12.75">
      <c r="A8" s="10" t="s">
        <v>36</v>
      </c>
      <c r="B8" s="33" t="s">
        <v>61</v>
      </c>
      <c r="C8" s="37" t="s">
        <v>61</v>
      </c>
      <c r="D8" s="11" t="s">
        <v>45</v>
      </c>
      <c r="E8" s="37" t="s">
        <v>61</v>
      </c>
      <c r="F8" s="11" t="s">
        <v>46</v>
      </c>
      <c r="G8" s="12"/>
      <c r="H8" s="11" t="s">
        <v>47</v>
      </c>
      <c r="I8" s="12"/>
      <c r="J8" s="44"/>
      <c r="K8" s="50" t="s">
        <v>41</v>
      </c>
      <c r="L8" s="13" t="s">
        <v>62</v>
      </c>
      <c r="M8" s="11" t="s">
        <v>51</v>
      </c>
      <c r="N8" s="11">
        <v>0.68700000000000006</v>
      </c>
      <c r="O8" s="11">
        <v>0.4</v>
      </c>
      <c r="P8" s="11">
        <v>17.739999999999998</v>
      </c>
      <c r="Q8" s="17">
        <v>0</v>
      </c>
      <c r="R8" s="11" t="s">
        <v>63</v>
      </c>
      <c r="S8" s="11" t="s">
        <v>64</v>
      </c>
      <c r="T8" s="67">
        <v>1.6080000000000001</v>
      </c>
      <c r="U8" s="11">
        <v>0.10299999999999999</v>
      </c>
      <c r="V8" s="11">
        <v>27352</v>
      </c>
      <c r="X8" s="11">
        <v>89.4</v>
      </c>
      <c r="Y8" s="11">
        <v>16.2</v>
      </c>
      <c r="Z8" s="11">
        <v>1.591</v>
      </c>
      <c r="AA8" s="11">
        <v>0.10199999999999999</v>
      </c>
      <c r="AB8" s="11">
        <v>82.1</v>
      </c>
      <c r="AC8" s="11">
        <v>1.62</v>
      </c>
      <c r="AD8" s="11">
        <v>1.62</v>
      </c>
      <c r="AE8" s="11">
        <v>1.663</v>
      </c>
    </row>
    <row r="9" spans="1:36" s="11" customFormat="1">
      <c r="A9" s="10" t="s">
        <v>36</v>
      </c>
      <c r="B9" s="33" t="s">
        <v>65</v>
      </c>
      <c r="C9" s="37" t="s">
        <v>65</v>
      </c>
      <c r="D9" s="11" t="s">
        <v>45</v>
      </c>
      <c r="E9" s="37" t="s">
        <v>65</v>
      </c>
      <c r="F9" s="11" t="s">
        <v>46</v>
      </c>
      <c r="G9" s="12"/>
      <c r="H9" s="11" t="s">
        <v>47</v>
      </c>
      <c r="I9" s="14"/>
      <c r="J9" s="45"/>
      <c r="K9" s="50" t="s">
        <v>41</v>
      </c>
      <c r="L9" s="11" t="s">
        <v>66</v>
      </c>
      <c r="M9" s="11" t="s">
        <v>51</v>
      </c>
      <c r="N9" s="11">
        <v>0.63200000000000001</v>
      </c>
      <c r="O9" s="11">
        <v>0.5</v>
      </c>
      <c r="P9" s="11">
        <v>19.010000000000002</v>
      </c>
      <c r="Q9" s="17">
        <v>0</v>
      </c>
      <c r="R9" s="11" t="s">
        <v>67</v>
      </c>
      <c r="S9" s="11" t="s">
        <v>68</v>
      </c>
      <c r="T9" s="67">
        <v>1.6679999999999999</v>
      </c>
      <c r="U9" s="11">
        <v>8.7999999999999995E-2</v>
      </c>
      <c r="V9" s="11">
        <v>25806</v>
      </c>
      <c r="X9" s="11">
        <v>94.8</v>
      </c>
      <c r="Y9" s="11">
        <v>17</v>
      </c>
      <c r="Z9" s="11">
        <v>1.6379999999999999</v>
      </c>
      <c r="AA9" s="11">
        <v>8.6999999999999994E-2</v>
      </c>
      <c r="AB9" s="11">
        <v>88.5</v>
      </c>
      <c r="AC9" s="11">
        <v>1.655</v>
      </c>
      <c r="AD9" s="11">
        <v>1.655</v>
      </c>
      <c r="AE9" s="11">
        <v>1.6359999999999999</v>
      </c>
    </row>
    <row r="10" spans="1:36" s="11" customFormat="1" ht="25.5" customHeight="1">
      <c r="A10" s="10" t="s">
        <v>36</v>
      </c>
      <c r="B10" s="33" t="s">
        <v>69</v>
      </c>
      <c r="C10" s="37" t="s">
        <v>69</v>
      </c>
      <c r="D10" s="11" t="s">
        <v>45</v>
      </c>
      <c r="E10" s="37" t="s">
        <v>69</v>
      </c>
      <c r="F10" s="11" t="s">
        <v>46</v>
      </c>
      <c r="G10" s="12"/>
      <c r="H10" s="11" t="s">
        <v>47</v>
      </c>
      <c r="I10" s="14"/>
      <c r="J10" s="45"/>
      <c r="K10" s="50" t="s">
        <v>41</v>
      </c>
      <c r="L10" s="11" t="s">
        <v>70</v>
      </c>
      <c r="M10" s="11" t="s">
        <v>51</v>
      </c>
      <c r="N10" s="11">
        <v>0.745</v>
      </c>
      <c r="O10" s="11">
        <v>0.185</v>
      </c>
      <c r="P10" s="11">
        <v>27.45</v>
      </c>
      <c r="Q10" s="17">
        <v>576</v>
      </c>
      <c r="R10" s="11" t="s">
        <v>63</v>
      </c>
      <c r="S10" s="11" t="s">
        <v>71</v>
      </c>
      <c r="T10" s="67">
        <v>1.881</v>
      </c>
      <c r="U10" s="11">
        <v>0.13100000000000001</v>
      </c>
      <c r="V10" s="11">
        <v>18379</v>
      </c>
      <c r="X10" s="11">
        <v>96</v>
      </c>
      <c r="Y10" s="11">
        <v>13.3</v>
      </c>
      <c r="Z10" s="11">
        <v>1.7829999999999999</v>
      </c>
      <c r="AA10" s="11">
        <v>0.13400000000000001</v>
      </c>
      <c r="AB10" s="11">
        <v>85</v>
      </c>
      <c r="AC10" s="11">
        <v>1.853</v>
      </c>
      <c r="AD10" s="11">
        <v>1.853</v>
      </c>
      <c r="AE10" s="11">
        <v>1.74</v>
      </c>
    </row>
    <row r="11" spans="1:36">
      <c r="A11" s="2" t="s">
        <v>36</v>
      </c>
      <c r="B11" s="32" t="s">
        <v>72</v>
      </c>
      <c r="C11" s="36" t="s">
        <v>72</v>
      </c>
      <c r="D11" s="1" t="s">
        <v>45</v>
      </c>
      <c r="E11" s="36" t="s">
        <v>72</v>
      </c>
      <c r="F11" s="1" t="s">
        <v>46</v>
      </c>
      <c r="G11" s="3"/>
      <c r="H11" s="1" t="s">
        <v>47</v>
      </c>
      <c r="I11" s="4"/>
      <c r="J11" s="42"/>
      <c r="K11" s="49" t="s">
        <v>41</v>
      </c>
      <c r="L11" s="1" t="s">
        <v>73</v>
      </c>
      <c r="Q11" s="5"/>
    </row>
    <row r="12" spans="1:36" s="11" customFormat="1">
      <c r="A12" s="10" t="s">
        <v>36</v>
      </c>
      <c r="B12" s="33" t="s">
        <v>74</v>
      </c>
      <c r="C12" s="37" t="s">
        <v>74</v>
      </c>
      <c r="D12" s="11" t="s">
        <v>45</v>
      </c>
      <c r="E12" s="37" t="s">
        <v>74</v>
      </c>
      <c r="F12" s="11" t="s">
        <v>75</v>
      </c>
      <c r="G12" s="12"/>
      <c r="H12" s="11" t="s">
        <v>76</v>
      </c>
      <c r="I12" s="14"/>
      <c r="J12" s="45"/>
      <c r="K12" s="50" t="s">
        <v>41</v>
      </c>
      <c r="L12" s="11" t="s">
        <v>77</v>
      </c>
      <c r="M12" s="11" t="s">
        <v>78</v>
      </c>
      <c r="N12" s="11">
        <v>0.378</v>
      </c>
      <c r="O12" s="11">
        <v>0.31</v>
      </c>
      <c r="P12" s="11">
        <v>14.48</v>
      </c>
      <c r="Q12" s="17">
        <v>0</v>
      </c>
      <c r="R12" s="11" t="s">
        <v>67</v>
      </c>
      <c r="S12" s="11" t="s">
        <v>79</v>
      </c>
      <c r="T12" s="67">
        <v>1.786</v>
      </c>
      <c r="U12" s="11">
        <v>0.13800000000000001</v>
      </c>
      <c r="V12" s="11">
        <v>19494</v>
      </c>
      <c r="X12" s="11">
        <v>92.9</v>
      </c>
      <c r="Y12" s="11">
        <v>18</v>
      </c>
      <c r="Z12" s="11">
        <v>1.7829999999999999</v>
      </c>
      <c r="AA12" s="11">
        <v>0.13300000000000001</v>
      </c>
      <c r="AB12" s="11">
        <v>79.099999999999994</v>
      </c>
      <c r="AC12" s="11">
        <v>1.806</v>
      </c>
      <c r="AD12" s="11">
        <v>1.806</v>
      </c>
      <c r="AE12" s="11">
        <v>1.9339999999999999</v>
      </c>
    </row>
    <row r="13" spans="1:36" s="11" customFormat="1">
      <c r="A13" s="10" t="s">
        <v>36</v>
      </c>
      <c r="B13" s="33" t="s">
        <v>80</v>
      </c>
      <c r="C13" s="37" t="s">
        <v>80</v>
      </c>
      <c r="D13" s="11" t="s">
        <v>45</v>
      </c>
      <c r="E13" s="37" t="s">
        <v>80</v>
      </c>
      <c r="F13" s="11" t="s">
        <v>75</v>
      </c>
      <c r="G13" s="12"/>
      <c r="H13" s="11" t="s">
        <v>76</v>
      </c>
      <c r="I13" s="14"/>
      <c r="J13" s="45"/>
      <c r="K13" s="50" t="s">
        <v>41</v>
      </c>
      <c r="L13" s="11" t="s">
        <v>81</v>
      </c>
      <c r="M13" s="11" t="s">
        <v>82</v>
      </c>
      <c r="N13" s="11">
        <f>0.183+0.068</f>
        <v>0.251</v>
      </c>
      <c r="O13" s="11">
        <v>0.35</v>
      </c>
      <c r="P13" s="11">
        <v>19.23</v>
      </c>
      <c r="Q13" s="17"/>
      <c r="R13" s="11" t="s">
        <v>63</v>
      </c>
      <c r="S13" s="11" t="s">
        <v>83</v>
      </c>
      <c r="T13" s="67">
        <v>1.9</v>
      </c>
      <c r="U13" s="11">
        <v>0.18099999999999999</v>
      </c>
      <c r="V13" s="11">
        <v>14925</v>
      </c>
      <c r="X13" s="11">
        <v>89.5</v>
      </c>
      <c r="Y13" s="11">
        <v>19.5</v>
      </c>
      <c r="Z13" s="11">
        <v>1.8360000000000001</v>
      </c>
      <c r="AA13" s="11">
        <v>0.152</v>
      </c>
      <c r="AB13" s="11">
        <v>60.7</v>
      </c>
      <c r="AC13" s="11">
        <v>1.827</v>
      </c>
      <c r="AD13" s="11">
        <v>1.827</v>
      </c>
      <c r="AE13" s="11">
        <v>2.6459999999999999</v>
      </c>
    </row>
    <row r="14" spans="1:36" s="11" customFormat="1">
      <c r="A14" s="10" t="s">
        <v>36</v>
      </c>
      <c r="B14" s="33" t="s">
        <v>84</v>
      </c>
      <c r="C14" s="37" t="s">
        <v>84</v>
      </c>
      <c r="D14" s="11" t="s">
        <v>45</v>
      </c>
      <c r="E14" s="37" t="s">
        <v>84</v>
      </c>
      <c r="F14" s="11" t="s">
        <v>75</v>
      </c>
      <c r="G14" s="12"/>
      <c r="H14" s="11" t="s">
        <v>76</v>
      </c>
      <c r="I14" s="14"/>
      <c r="J14" s="45"/>
      <c r="K14" s="50" t="s">
        <v>41</v>
      </c>
      <c r="L14" s="11" t="s">
        <v>85</v>
      </c>
      <c r="M14" s="11" t="s">
        <v>86</v>
      </c>
      <c r="N14" s="11">
        <v>0.63100000000000001</v>
      </c>
      <c r="O14" s="11">
        <v>0.35</v>
      </c>
      <c r="P14" s="11">
        <v>12.6</v>
      </c>
      <c r="Q14" s="17">
        <v>29</v>
      </c>
      <c r="R14" s="11" t="s">
        <v>63</v>
      </c>
      <c r="S14" s="11" t="s">
        <v>87</v>
      </c>
      <c r="T14" s="67">
        <v>1.9319999999999999</v>
      </c>
      <c r="U14" s="11">
        <v>0.26600000000000001</v>
      </c>
      <c r="V14" s="11">
        <v>15255</v>
      </c>
      <c r="X14" s="11">
        <v>95.2</v>
      </c>
      <c r="Y14" s="11">
        <v>18.600000000000001</v>
      </c>
      <c r="Z14" s="11">
        <v>1.96</v>
      </c>
      <c r="AA14" s="11">
        <v>0.247</v>
      </c>
      <c r="AB14" s="11">
        <v>83.4</v>
      </c>
      <c r="AC14" s="11">
        <v>1.931</v>
      </c>
      <c r="AD14" s="11">
        <v>1.931</v>
      </c>
      <c r="AE14" s="11">
        <v>2.194</v>
      </c>
    </row>
    <row r="15" spans="1:36">
      <c r="A15" s="2" t="s">
        <v>36</v>
      </c>
      <c r="B15" s="32" t="s">
        <v>88</v>
      </c>
      <c r="C15" s="36" t="s">
        <v>88</v>
      </c>
      <c r="D15" s="1" t="s">
        <v>45</v>
      </c>
      <c r="E15" s="36" t="s">
        <v>88</v>
      </c>
      <c r="F15" s="1" t="s">
        <v>75</v>
      </c>
      <c r="G15" s="3"/>
      <c r="H15" s="1" t="s">
        <v>76</v>
      </c>
      <c r="I15" s="4"/>
      <c r="J15" s="42"/>
      <c r="K15" s="49" t="s">
        <v>41</v>
      </c>
      <c r="L15" s="1" t="s">
        <v>89</v>
      </c>
      <c r="Q15" s="5"/>
    </row>
    <row r="16" spans="1:36" s="11" customFormat="1">
      <c r="A16" s="10" t="s">
        <v>36</v>
      </c>
      <c r="B16" s="33" t="s">
        <v>90</v>
      </c>
      <c r="C16" s="37" t="s">
        <v>90</v>
      </c>
      <c r="D16" s="11" t="s">
        <v>45</v>
      </c>
      <c r="E16" s="37" t="s">
        <v>90</v>
      </c>
      <c r="F16" s="11" t="s">
        <v>75</v>
      </c>
      <c r="G16" s="12"/>
      <c r="H16" s="11" t="s">
        <v>76</v>
      </c>
      <c r="I16" s="14"/>
      <c r="J16" s="45"/>
      <c r="K16" s="50" t="s">
        <v>41</v>
      </c>
      <c r="L16" s="11" t="s">
        <v>66</v>
      </c>
      <c r="M16" s="11" t="s">
        <v>82</v>
      </c>
      <c r="N16" s="11">
        <v>0.46100000000000002</v>
      </c>
      <c r="O16" s="11">
        <v>0.4</v>
      </c>
      <c r="P16" s="11">
        <v>13.48</v>
      </c>
      <c r="Q16" s="17">
        <v>93</v>
      </c>
      <c r="R16" s="11" t="s">
        <v>63</v>
      </c>
      <c r="S16" s="11" t="s">
        <v>91</v>
      </c>
      <c r="T16" s="67">
        <v>1.7589999999999999</v>
      </c>
      <c r="U16" s="11">
        <v>0.17199999999999999</v>
      </c>
      <c r="V16" s="11">
        <v>19071</v>
      </c>
      <c r="X16" s="11">
        <v>90</v>
      </c>
      <c r="Y16" s="11">
        <v>16.399999999999999</v>
      </c>
      <c r="Z16" s="11">
        <v>1.7350000000000001</v>
      </c>
      <c r="AA16" s="11">
        <v>0.16400000000000001</v>
      </c>
      <c r="AB16" s="11">
        <v>74.2</v>
      </c>
      <c r="AC16" s="11">
        <v>1.754</v>
      </c>
      <c r="AD16" s="11">
        <v>1.754</v>
      </c>
      <c r="AE16" s="11">
        <v>1.9810000000000001</v>
      </c>
    </row>
    <row r="17" spans="1:31">
      <c r="A17" s="2" t="s">
        <v>36</v>
      </c>
      <c r="B17" s="32" t="s">
        <v>92</v>
      </c>
      <c r="C17" s="36" t="s">
        <v>92</v>
      </c>
      <c r="D17" s="1" t="s">
        <v>93</v>
      </c>
      <c r="E17" s="36" t="s">
        <v>92</v>
      </c>
      <c r="F17" s="1" t="s">
        <v>94</v>
      </c>
      <c r="G17" s="3"/>
      <c r="H17" s="1" t="s">
        <v>95</v>
      </c>
      <c r="I17" s="4"/>
      <c r="J17" s="42"/>
      <c r="K17" s="49" t="s">
        <v>96</v>
      </c>
      <c r="L17" s="1" t="s">
        <v>97</v>
      </c>
    </row>
    <row r="18" spans="1:31">
      <c r="A18" s="2" t="s">
        <v>36</v>
      </c>
      <c r="B18" s="32" t="s">
        <v>98</v>
      </c>
      <c r="C18" s="36" t="s">
        <v>98</v>
      </c>
      <c r="D18" s="1" t="s">
        <v>93</v>
      </c>
      <c r="E18" s="36" t="s">
        <v>98</v>
      </c>
      <c r="F18" s="1" t="s">
        <v>94</v>
      </c>
      <c r="G18" s="3"/>
      <c r="H18" s="1" t="s">
        <v>95</v>
      </c>
      <c r="I18" s="4"/>
      <c r="J18" s="42"/>
      <c r="K18" s="49" t="s">
        <v>96</v>
      </c>
      <c r="L18" s="1" t="s">
        <v>99</v>
      </c>
    </row>
    <row r="19" spans="1:31" s="18" customFormat="1">
      <c r="A19" s="19" t="s">
        <v>36</v>
      </c>
      <c r="B19" s="34" t="s">
        <v>100</v>
      </c>
      <c r="C19" s="38" t="s">
        <v>100</v>
      </c>
      <c r="D19" s="18" t="s">
        <v>93</v>
      </c>
      <c r="E19" s="38" t="s">
        <v>100</v>
      </c>
      <c r="F19" s="18" t="s">
        <v>94</v>
      </c>
      <c r="G19" s="20"/>
      <c r="H19" s="18" t="s">
        <v>95</v>
      </c>
      <c r="I19" s="21"/>
      <c r="J19" s="46"/>
      <c r="K19" s="51" t="s">
        <v>96</v>
      </c>
      <c r="L19" s="18" t="s">
        <v>101</v>
      </c>
      <c r="M19" s="18" t="s">
        <v>82</v>
      </c>
      <c r="N19" s="18">
        <v>0.39</v>
      </c>
      <c r="O19" s="18">
        <v>0.25</v>
      </c>
      <c r="P19" s="18">
        <v>18.489999999999998</v>
      </c>
      <c r="Q19" s="22">
        <v>1165</v>
      </c>
      <c r="R19" s="18" t="s">
        <v>102</v>
      </c>
      <c r="S19" s="18" t="s">
        <v>103</v>
      </c>
      <c r="T19" s="67">
        <v>2.0739999999999998</v>
      </c>
      <c r="U19" s="18">
        <v>0.17299999999999999</v>
      </c>
      <c r="V19" s="18">
        <v>27088</v>
      </c>
      <c r="X19" s="18">
        <v>65.3</v>
      </c>
      <c r="Y19" s="18">
        <v>3.5</v>
      </c>
      <c r="Z19" s="18">
        <v>1.722</v>
      </c>
      <c r="AA19" s="18">
        <v>0.20599999999999999</v>
      </c>
      <c r="AB19" s="18">
        <v>45.4</v>
      </c>
      <c r="AC19" s="18">
        <v>2.2519999999999998</v>
      </c>
      <c r="AD19" s="18">
        <v>1.736</v>
      </c>
      <c r="AE19" s="18">
        <v>1.657</v>
      </c>
    </row>
    <row r="20" spans="1:31" s="18" customFormat="1">
      <c r="A20" s="19"/>
      <c r="B20" s="34"/>
      <c r="C20" s="38"/>
      <c r="E20" s="38"/>
      <c r="G20" s="20"/>
      <c r="I20" s="21"/>
      <c r="J20" s="46"/>
      <c r="K20" s="51"/>
      <c r="L20" s="18" t="s">
        <v>104</v>
      </c>
      <c r="M20" s="18" t="s">
        <v>78</v>
      </c>
      <c r="N20" s="18">
        <v>0.43</v>
      </c>
      <c r="O20" s="18">
        <v>0.2</v>
      </c>
      <c r="P20" s="18">
        <v>18.45</v>
      </c>
      <c r="Q20" s="22">
        <v>344</v>
      </c>
      <c r="R20" s="18" t="s">
        <v>58</v>
      </c>
      <c r="S20" s="18" t="s">
        <v>105</v>
      </c>
      <c r="T20" s="67">
        <v>1.7949999999999999</v>
      </c>
      <c r="U20" s="18">
        <v>0.17499999999999999</v>
      </c>
      <c r="V20" s="18">
        <v>20184</v>
      </c>
      <c r="X20" s="18">
        <v>93.9</v>
      </c>
      <c r="Y20" s="18">
        <v>12.2</v>
      </c>
      <c r="Z20" s="18">
        <v>1.776</v>
      </c>
      <c r="AA20" s="18">
        <v>0.16600000000000001</v>
      </c>
      <c r="AB20" s="18">
        <v>81.3</v>
      </c>
      <c r="AC20" s="18">
        <v>1.784</v>
      </c>
      <c r="AD20" s="18">
        <v>1.784</v>
      </c>
      <c r="AE20" s="18">
        <v>1.92</v>
      </c>
    </row>
    <row r="21" spans="1:31" s="11" customFormat="1">
      <c r="A21" s="10" t="s">
        <v>36</v>
      </c>
      <c r="B21" s="33" t="s">
        <v>106</v>
      </c>
      <c r="C21" s="37" t="s">
        <v>106</v>
      </c>
      <c r="D21" s="11" t="s">
        <v>93</v>
      </c>
      <c r="E21" s="37" t="s">
        <v>106</v>
      </c>
      <c r="F21" s="11" t="s">
        <v>94</v>
      </c>
      <c r="G21" s="12"/>
      <c r="H21" s="11" t="s">
        <v>95</v>
      </c>
      <c r="I21" s="14"/>
      <c r="J21" s="45"/>
      <c r="K21" s="50" t="s">
        <v>96</v>
      </c>
      <c r="L21" s="11" t="s">
        <v>107</v>
      </c>
      <c r="M21" s="11" t="s">
        <v>82</v>
      </c>
      <c r="N21" s="11">
        <v>0.56999999999999995</v>
      </c>
      <c r="O21" s="11">
        <v>0.3</v>
      </c>
      <c r="P21" s="11">
        <v>23.82</v>
      </c>
      <c r="Q21" s="17">
        <v>0</v>
      </c>
      <c r="R21" s="11" t="s">
        <v>63</v>
      </c>
      <c r="S21" s="11" t="s">
        <v>108</v>
      </c>
      <c r="T21" s="67">
        <v>1.8080000000000001</v>
      </c>
      <c r="U21" s="11">
        <v>0.127</v>
      </c>
      <c r="V21" s="11">
        <v>19349</v>
      </c>
      <c r="X21" s="11">
        <v>100</v>
      </c>
      <c r="Y21" s="11">
        <v>18.899999999999999</v>
      </c>
      <c r="Z21" s="11">
        <v>1.75</v>
      </c>
      <c r="AA21" s="11">
        <v>0.126</v>
      </c>
      <c r="AB21" s="11">
        <v>86.9</v>
      </c>
      <c r="AC21" s="11">
        <v>1.8240000000000001</v>
      </c>
      <c r="AD21" s="11">
        <v>1.8240000000000001</v>
      </c>
      <c r="AE21" s="11">
        <v>1.7509999999999999</v>
      </c>
    </row>
    <row r="22" spans="1:31" s="11" customFormat="1">
      <c r="A22" s="10" t="s">
        <v>36</v>
      </c>
      <c r="B22" s="33" t="s">
        <v>109</v>
      </c>
      <c r="C22" s="37" t="s">
        <v>109</v>
      </c>
      <c r="D22" s="11" t="s">
        <v>93</v>
      </c>
      <c r="E22" s="37" t="s">
        <v>109</v>
      </c>
      <c r="F22" s="11" t="s">
        <v>110</v>
      </c>
      <c r="G22" s="12"/>
      <c r="H22" s="11" t="s">
        <v>111</v>
      </c>
      <c r="I22" s="14"/>
      <c r="J22" s="45"/>
      <c r="K22" s="50" t="s">
        <v>112</v>
      </c>
      <c r="L22" s="11" t="s">
        <v>113</v>
      </c>
      <c r="M22" s="11" t="s">
        <v>82</v>
      </c>
      <c r="N22" s="11">
        <v>0.1</v>
      </c>
      <c r="O22" s="11">
        <v>0.18</v>
      </c>
      <c r="P22" s="11">
        <v>28.13</v>
      </c>
      <c r="Q22" s="17">
        <v>0</v>
      </c>
      <c r="R22" s="11" t="s">
        <v>63</v>
      </c>
      <c r="S22" s="11" t="s">
        <v>114</v>
      </c>
      <c r="T22" s="67">
        <v>1.7410000000000001</v>
      </c>
      <c r="U22" s="11">
        <v>0.10199999999999999</v>
      </c>
      <c r="V22" s="11">
        <v>20751</v>
      </c>
      <c r="X22" s="11">
        <v>93.3</v>
      </c>
      <c r="Y22" s="11">
        <v>17.3</v>
      </c>
      <c r="Z22" s="11">
        <v>1.6739999999999999</v>
      </c>
      <c r="AA22" s="11">
        <v>0.10100000000000001</v>
      </c>
      <c r="AB22" s="11">
        <v>80.099999999999994</v>
      </c>
      <c r="AC22" s="11">
        <v>1.74</v>
      </c>
      <c r="AD22" s="11">
        <v>1.74</v>
      </c>
      <c r="AE22" s="11">
        <v>1.69</v>
      </c>
    </row>
    <row r="23" spans="1:31">
      <c r="A23" s="2" t="s">
        <v>36</v>
      </c>
      <c r="B23" s="32" t="s">
        <v>115</v>
      </c>
      <c r="C23" s="36" t="s">
        <v>115</v>
      </c>
      <c r="D23" s="1" t="s">
        <v>93</v>
      </c>
      <c r="E23" s="36" t="s">
        <v>115</v>
      </c>
      <c r="F23" s="1" t="s">
        <v>110</v>
      </c>
      <c r="G23" s="3"/>
      <c r="H23" s="1" t="s">
        <v>111</v>
      </c>
      <c r="I23" s="4"/>
      <c r="J23" s="42"/>
      <c r="K23" s="49" t="s">
        <v>112</v>
      </c>
      <c r="L23" s="1" t="s">
        <v>116</v>
      </c>
    </row>
    <row r="24" spans="1:31" s="18" customFormat="1" ht="12.75">
      <c r="A24" s="19" t="s">
        <v>36</v>
      </c>
      <c r="B24" s="34" t="s">
        <v>117</v>
      </c>
      <c r="C24" s="38" t="s">
        <v>117</v>
      </c>
      <c r="D24" s="18" t="s">
        <v>93</v>
      </c>
      <c r="E24" s="38" t="s">
        <v>117</v>
      </c>
      <c r="F24" s="18" t="s">
        <v>118</v>
      </c>
      <c r="G24" s="20"/>
      <c r="H24" s="18" t="s">
        <v>119</v>
      </c>
      <c r="I24" s="21"/>
      <c r="J24" s="46"/>
      <c r="K24" s="51" t="s">
        <v>112</v>
      </c>
      <c r="L24" s="18" t="s">
        <v>120</v>
      </c>
      <c r="M24" s="18" t="s">
        <v>78</v>
      </c>
      <c r="N24" s="18">
        <v>0.72</v>
      </c>
      <c r="O24" s="18">
        <v>0.17</v>
      </c>
      <c r="P24" s="18">
        <v>24.46</v>
      </c>
      <c r="Q24" s="22">
        <v>0</v>
      </c>
      <c r="R24" s="18" t="s">
        <v>63</v>
      </c>
      <c r="S24" s="18" t="s">
        <v>121</v>
      </c>
      <c r="T24" s="67">
        <v>1.5469999999999999</v>
      </c>
      <c r="U24" s="18">
        <v>6.6000000000000003E-2</v>
      </c>
      <c r="V24" s="18">
        <v>27010</v>
      </c>
      <c r="X24" s="18">
        <v>81.2</v>
      </c>
      <c r="Y24" s="18">
        <v>15.2</v>
      </c>
      <c r="Z24" s="18">
        <v>1.548</v>
      </c>
      <c r="AA24" s="18">
        <v>6.6000000000000003E-2</v>
      </c>
      <c r="AB24" s="18">
        <v>80.099999999999994</v>
      </c>
      <c r="AC24" s="18">
        <v>1.5609999999999999</v>
      </c>
      <c r="AD24" s="18">
        <v>1.5609999999999999</v>
      </c>
      <c r="AE24" s="18">
        <v>1.583</v>
      </c>
    </row>
    <row r="25" spans="1:31">
      <c r="A25" s="2" t="s">
        <v>36</v>
      </c>
      <c r="B25" s="32" t="s">
        <v>122</v>
      </c>
      <c r="C25" s="36" t="s">
        <v>122</v>
      </c>
      <c r="D25" s="1" t="s">
        <v>93</v>
      </c>
      <c r="E25" s="36" t="s">
        <v>122</v>
      </c>
      <c r="F25" s="1" t="s">
        <v>118</v>
      </c>
      <c r="G25" s="3"/>
      <c r="H25" s="1" t="s">
        <v>119</v>
      </c>
      <c r="I25" s="4"/>
      <c r="J25" s="42"/>
      <c r="K25" s="49" t="s">
        <v>112</v>
      </c>
      <c r="L25" s="1" t="s">
        <v>99</v>
      </c>
      <c r="Q25" s="5"/>
      <c r="S25" s="5"/>
    </row>
    <row r="26" spans="1:31">
      <c r="A26" s="2" t="s">
        <v>36</v>
      </c>
      <c r="B26" s="32" t="s">
        <v>123</v>
      </c>
      <c r="C26" s="36" t="s">
        <v>123</v>
      </c>
      <c r="D26" s="1" t="s">
        <v>93</v>
      </c>
      <c r="E26" s="36" t="s">
        <v>123</v>
      </c>
      <c r="F26" s="1" t="s">
        <v>118</v>
      </c>
      <c r="G26" s="3"/>
      <c r="H26" s="1" t="s">
        <v>119</v>
      </c>
      <c r="I26" s="4"/>
      <c r="J26" s="42"/>
      <c r="K26" s="49" t="s">
        <v>112</v>
      </c>
      <c r="L26" s="1" t="s">
        <v>116</v>
      </c>
      <c r="Q26" s="5"/>
    </row>
    <row r="27" spans="1:31">
      <c r="A27" s="2" t="s">
        <v>36</v>
      </c>
      <c r="B27" s="32" t="s">
        <v>124</v>
      </c>
      <c r="C27" s="36" t="s">
        <v>124</v>
      </c>
      <c r="D27" s="1" t="s">
        <v>93</v>
      </c>
      <c r="E27" s="36" t="s">
        <v>124</v>
      </c>
      <c r="F27" s="1" t="s">
        <v>118</v>
      </c>
      <c r="G27" s="3"/>
      <c r="H27" s="1" t="s">
        <v>119</v>
      </c>
      <c r="I27" s="4"/>
      <c r="J27" s="42"/>
      <c r="K27" s="49" t="s">
        <v>112</v>
      </c>
      <c r="L27" s="1" t="s">
        <v>116</v>
      </c>
      <c r="Q27" s="5"/>
    </row>
    <row r="28" spans="1:31" s="18" customFormat="1">
      <c r="A28" s="19" t="s">
        <v>36</v>
      </c>
      <c r="B28" s="34" t="s">
        <v>125</v>
      </c>
      <c r="C28" s="38" t="s">
        <v>125</v>
      </c>
      <c r="D28" s="18" t="s">
        <v>93</v>
      </c>
      <c r="E28" s="38" t="s">
        <v>125</v>
      </c>
      <c r="F28" s="18" t="s">
        <v>118</v>
      </c>
      <c r="G28" s="20"/>
      <c r="H28" s="18" t="s">
        <v>119</v>
      </c>
      <c r="I28" s="21"/>
      <c r="J28" s="46"/>
      <c r="K28" s="51" t="s">
        <v>112</v>
      </c>
      <c r="L28" s="18" t="s">
        <v>126</v>
      </c>
      <c r="M28" s="18" t="s">
        <v>78</v>
      </c>
      <c r="N28" s="18">
        <v>0.69599999999999995</v>
      </c>
      <c r="O28" s="18">
        <v>0.2</v>
      </c>
      <c r="P28" s="18">
        <v>21.68</v>
      </c>
      <c r="Q28" s="22">
        <v>290</v>
      </c>
      <c r="R28" s="18" t="s">
        <v>127</v>
      </c>
      <c r="S28" s="18" t="s">
        <v>128</v>
      </c>
      <c r="T28" s="67">
        <v>1.552</v>
      </c>
      <c r="U28" s="18">
        <v>5.1999999999999998E-2</v>
      </c>
      <c r="V28" s="18">
        <v>13824</v>
      </c>
      <c r="X28" s="18">
        <v>80.099999999999994</v>
      </c>
      <c r="Y28" s="18">
        <v>16.7</v>
      </c>
      <c r="Z28" s="18">
        <v>1.546</v>
      </c>
      <c r="AA28" s="18">
        <v>5.1999999999999998E-2</v>
      </c>
      <c r="AB28" s="18">
        <v>78.8</v>
      </c>
      <c r="AC28" s="18">
        <v>1.484</v>
      </c>
      <c r="AD28" s="18">
        <v>1.484</v>
      </c>
      <c r="AE28" s="18">
        <v>1.496</v>
      </c>
    </row>
    <row r="29" spans="1:31" s="18" customFormat="1">
      <c r="A29" s="19"/>
      <c r="B29" s="34"/>
      <c r="C29" s="38"/>
      <c r="E29" s="38"/>
      <c r="G29" s="20"/>
      <c r="I29" s="21"/>
      <c r="J29" s="46"/>
      <c r="K29" s="51"/>
      <c r="L29" s="18" t="s">
        <v>129</v>
      </c>
      <c r="M29" s="18" t="s">
        <v>130</v>
      </c>
      <c r="N29" s="18">
        <v>0.7</v>
      </c>
      <c r="O29" s="18">
        <v>0.2</v>
      </c>
      <c r="P29" s="18">
        <v>23.64</v>
      </c>
      <c r="Q29" s="22">
        <v>290</v>
      </c>
      <c r="R29" s="18" t="s">
        <v>131</v>
      </c>
      <c r="S29" s="18" t="s">
        <v>132</v>
      </c>
      <c r="T29" s="67">
        <v>1.5489999999999999</v>
      </c>
      <c r="U29" s="18">
        <v>4.7E-2</v>
      </c>
      <c r="V29" s="18">
        <v>71279</v>
      </c>
      <c r="X29" s="18">
        <v>55.6</v>
      </c>
      <c r="Y29" s="18">
        <v>3.3</v>
      </c>
      <c r="Z29" s="18">
        <v>1.5469999999999999</v>
      </c>
      <c r="AA29" s="18">
        <v>4.7E-2</v>
      </c>
      <c r="AB29" s="18">
        <v>55.4</v>
      </c>
      <c r="AC29" s="18">
        <v>1.5840000000000001</v>
      </c>
      <c r="AD29" s="18">
        <v>1.6140000000000001</v>
      </c>
      <c r="AE29" s="18">
        <v>1.5029999999999999</v>
      </c>
    </row>
    <row r="30" spans="1:31">
      <c r="A30" s="2" t="s">
        <v>36</v>
      </c>
      <c r="B30" s="32" t="s">
        <v>133</v>
      </c>
      <c r="C30" s="36" t="s">
        <v>133</v>
      </c>
      <c r="D30" s="1" t="s">
        <v>93</v>
      </c>
      <c r="E30" s="36" t="s">
        <v>133</v>
      </c>
      <c r="F30" s="1" t="s">
        <v>118</v>
      </c>
      <c r="G30" s="3"/>
      <c r="H30" s="1" t="s">
        <v>119</v>
      </c>
      <c r="I30" s="4"/>
      <c r="J30" s="42"/>
      <c r="K30" s="49" t="s">
        <v>112</v>
      </c>
      <c r="L30" s="1" t="s">
        <v>134</v>
      </c>
      <c r="Q30" s="5"/>
    </row>
    <row r="31" spans="1:31" s="11" customFormat="1">
      <c r="A31" s="10" t="s">
        <v>36</v>
      </c>
      <c r="B31" s="33" t="s">
        <v>135</v>
      </c>
      <c r="C31" s="37" t="s">
        <v>135</v>
      </c>
      <c r="D31" s="11" t="s">
        <v>93</v>
      </c>
      <c r="E31" s="37" t="s">
        <v>135</v>
      </c>
      <c r="F31" s="11" t="s">
        <v>118</v>
      </c>
      <c r="G31" s="12"/>
      <c r="H31" s="11" t="s">
        <v>119</v>
      </c>
      <c r="I31" s="14"/>
      <c r="J31" s="45"/>
      <c r="K31" s="50" t="s">
        <v>112</v>
      </c>
      <c r="L31" s="11" t="s">
        <v>136</v>
      </c>
      <c r="M31" s="11" t="s">
        <v>51</v>
      </c>
      <c r="N31" s="11">
        <v>0.74</v>
      </c>
      <c r="O31" s="11">
        <v>0.8</v>
      </c>
      <c r="P31" s="11">
        <v>13.84</v>
      </c>
      <c r="Q31" s="17">
        <v>68</v>
      </c>
      <c r="R31" s="11" t="s">
        <v>137</v>
      </c>
      <c r="S31" s="11" t="s">
        <v>138</v>
      </c>
      <c r="T31" s="67">
        <v>1.72</v>
      </c>
      <c r="U31" s="11">
        <v>0.11799999999999999</v>
      </c>
      <c r="V31" s="11">
        <v>23205</v>
      </c>
      <c r="X31" s="11">
        <v>92.7</v>
      </c>
      <c r="Y31" s="11">
        <v>8.1999999999999993</v>
      </c>
      <c r="Z31" s="11">
        <v>1.6859999999999999</v>
      </c>
      <c r="AA31" s="11">
        <v>0.11600000000000001</v>
      </c>
      <c r="AB31" s="11">
        <v>77.400000000000006</v>
      </c>
      <c r="AC31" s="11">
        <v>1.6990000000000001</v>
      </c>
      <c r="AD31" s="11">
        <v>1.6990000000000001</v>
      </c>
      <c r="AE31" s="11">
        <v>1.8819999999999999</v>
      </c>
    </row>
    <row r="32" spans="1:31" s="11" customFormat="1">
      <c r="A32" s="10" t="s">
        <v>36</v>
      </c>
      <c r="B32" s="33" t="s">
        <v>139</v>
      </c>
      <c r="C32" s="37" t="s">
        <v>139</v>
      </c>
      <c r="D32" s="11" t="s">
        <v>93</v>
      </c>
      <c r="E32" s="37" t="s">
        <v>139</v>
      </c>
      <c r="F32" s="11" t="s">
        <v>140</v>
      </c>
      <c r="G32" s="12"/>
      <c r="H32" s="11" t="s">
        <v>119</v>
      </c>
      <c r="I32" s="14"/>
      <c r="J32" s="45"/>
      <c r="K32" s="50" t="s">
        <v>112</v>
      </c>
      <c r="L32" s="11" t="s">
        <v>141</v>
      </c>
      <c r="M32" s="11" t="s">
        <v>130</v>
      </c>
      <c r="N32" s="11">
        <v>0.72</v>
      </c>
      <c r="O32" s="11">
        <v>0.36</v>
      </c>
      <c r="P32" s="11">
        <v>23.21</v>
      </c>
      <c r="Q32" s="17">
        <v>0</v>
      </c>
      <c r="R32" s="11" t="s">
        <v>63</v>
      </c>
      <c r="S32" s="11" t="s">
        <v>142</v>
      </c>
      <c r="T32" s="67">
        <v>1.6</v>
      </c>
      <c r="U32" s="11">
        <v>5.6000000000000001E-2</v>
      </c>
      <c r="V32" s="11">
        <v>26042</v>
      </c>
      <c r="X32" s="11">
        <v>85</v>
      </c>
      <c r="Y32" s="11">
        <v>7.9</v>
      </c>
      <c r="Z32" s="11">
        <v>1.583</v>
      </c>
      <c r="AA32" s="11">
        <v>5.5E-2</v>
      </c>
      <c r="AB32" s="11">
        <v>73.3</v>
      </c>
      <c r="AC32" s="11">
        <v>1.601</v>
      </c>
      <c r="AD32" s="11">
        <v>1.601</v>
      </c>
      <c r="AE32" s="11">
        <v>1.79</v>
      </c>
    </row>
    <row r="33" spans="1:31">
      <c r="A33" s="2" t="s">
        <v>36</v>
      </c>
      <c r="B33" s="32" t="s">
        <v>143</v>
      </c>
      <c r="C33" s="36" t="s">
        <v>143</v>
      </c>
      <c r="D33" s="1" t="s">
        <v>93</v>
      </c>
      <c r="E33" s="36" t="s">
        <v>143</v>
      </c>
      <c r="F33" s="1" t="s">
        <v>118</v>
      </c>
      <c r="G33" s="3"/>
      <c r="H33" s="1" t="s">
        <v>119</v>
      </c>
      <c r="I33" s="4"/>
      <c r="J33" s="42"/>
      <c r="K33" s="49" t="s">
        <v>112</v>
      </c>
      <c r="L33" s="1" t="s">
        <v>144</v>
      </c>
      <c r="Q33" s="5"/>
    </row>
    <row r="34" spans="1:31" s="18" customFormat="1">
      <c r="A34" s="19" t="s">
        <v>36</v>
      </c>
      <c r="B34" s="34" t="s">
        <v>145</v>
      </c>
      <c r="C34" s="38" t="s">
        <v>145</v>
      </c>
      <c r="D34" s="18" t="s">
        <v>93</v>
      </c>
      <c r="E34" s="38" t="s">
        <v>145</v>
      </c>
      <c r="F34" s="18" t="s">
        <v>146</v>
      </c>
      <c r="G34" s="20"/>
      <c r="H34" s="18" t="s">
        <v>147</v>
      </c>
      <c r="I34" s="21"/>
      <c r="J34" s="46"/>
      <c r="K34" s="51" t="s">
        <v>112</v>
      </c>
      <c r="L34" s="18" t="s">
        <v>148</v>
      </c>
      <c r="M34" s="18" t="s">
        <v>149</v>
      </c>
      <c r="N34" s="18">
        <v>0.77</v>
      </c>
      <c r="O34" s="18">
        <v>0.3</v>
      </c>
      <c r="P34" s="18">
        <v>19.84</v>
      </c>
      <c r="Q34" s="22">
        <v>0</v>
      </c>
      <c r="R34" s="18" t="s">
        <v>63</v>
      </c>
      <c r="S34" s="18" t="s">
        <v>150</v>
      </c>
      <c r="T34" s="67">
        <v>1.3080000000000001</v>
      </c>
      <c r="U34" s="18">
        <v>0.108</v>
      </c>
      <c r="V34" s="18">
        <v>51109</v>
      </c>
      <c r="X34" s="18">
        <v>94.8</v>
      </c>
      <c r="Y34" s="18">
        <v>19.899999999999999</v>
      </c>
      <c r="Z34" s="18">
        <v>1.321</v>
      </c>
      <c r="AA34" s="18">
        <v>0.113</v>
      </c>
      <c r="AB34" s="18">
        <v>88</v>
      </c>
      <c r="AC34" s="18">
        <v>1.298</v>
      </c>
      <c r="AD34" s="18">
        <v>1.298</v>
      </c>
      <c r="AE34" s="18">
        <v>1.4259999999999999</v>
      </c>
    </row>
    <row r="35" spans="1:31">
      <c r="A35" s="2" t="s">
        <v>36</v>
      </c>
      <c r="B35" s="32" t="s">
        <v>151</v>
      </c>
      <c r="C35" s="36" t="s">
        <v>151</v>
      </c>
      <c r="D35" s="1" t="s">
        <v>93</v>
      </c>
      <c r="E35" s="36" t="s">
        <v>151</v>
      </c>
      <c r="F35" s="1" t="s">
        <v>152</v>
      </c>
      <c r="G35" s="3"/>
      <c r="H35" s="1" t="s">
        <v>147</v>
      </c>
      <c r="I35" s="4"/>
      <c r="J35" s="42"/>
      <c r="K35" s="49" t="s">
        <v>112</v>
      </c>
      <c r="L35" s="1" t="s">
        <v>153</v>
      </c>
      <c r="Q35" s="5"/>
    </row>
    <row r="36" spans="1:31" s="11" customFormat="1">
      <c r="A36" s="10" t="s">
        <v>36</v>
      </c>
      <c r="B36" s="33" t="s">
        <v>154</v>
      </c>
      <c r="C36" s="37" t="s">
        <v>154</v>
      </c>
      <c r="D36" s="11" t="s">
        <v>93</v>
      </c>
      <c r="E36" s="37" t="s">
        <v>154</v>
      </c>
      <c r="F36" s="11" t="s">
        <v>152</v>
      </c>
      <c r="G36" s="12"/>
      <c r="H36" s="11" t="s">
        <v>147</v>
      </c>
      <c r="I36" s="14"/>
      <c r="J36" s="45"/>
      <c r="K36" s="50" t="s">
        <v>96</v>
      </c>
      <c r="L36" s="11" t="s">
        <v>155</v>
      </c>
      <c r="M36" s="11" t="s">
        <v>149</v>
      </c>
      <c r="N36" s="11">
        <v>7.0000000000000007E-2</v>
      </c>
      <c r="O36" s="11">
        <v>1.2</v>
      </c>
      <c r="P36" s="11">
        <v>10.19</v>
      </c>
      <c r="Q36" s="17">
        <v>0</v>
      </c>
      <c r="R36" s="11" t="s">
        <v>63</v>
      </c>
      <c r="S36" s="11" t="s">
        <v>156</v>
      </c>
      <c r="T36" s="67">
        <v>1.956</v>
      </c>
      <c r="U36" s="11">
        <v>0.19700000000000001</v>
      </c>
      <c r="V36" s="11">
        <v>0.99299999999999999</v>
      </c>
      <c r="X36" s="11">
        <v>90.8</v>
      </c>
      <c r="Y36" s="11">
        <v>8.1</v>
      </c>
      <c r="Z36" s="11">
        <v>1.992</v>
      </c>
      <c r="AA36" s="11">
        <v>0.183</v>
      </c>
      <c r="AB36" s="11">
        <v>72.5</v>
      </c>
      <c r="AC36" s="11">
        <v>1.9990000000000001</v>
      </c>
      <c r="AD36" s="11">
        <v>1.9990000000000001</v>
      </c>
      <c r="AE36" s="11">
        <v>2.367</v>
      </c>
    </row>
    <row r="37" spans="1:31">
      <c r="A37" s="2" t="s">
        <v>36</v>
      </c>
      <c r="B37" s="32" t="s">
        <v>157</v>
      </c>
      <c r="C37" s="36" t="s">
        <v>157</v>
      </c>
      <c r="D37" s="1" t="s">
        <v>93</v>
      </c>
      <c r="E37" s="36" t="s">
        <v>157</v>
      </c>
      <c r="F37" s="1" t="s">
        <v>158</v>
      </c>
      <c r="G37" s="3"/>
      <c r="H37" s="1" t="s">
        <v>147</v>
      </c>
      <c r="I37" s="4"/>
      <c r="J37" s="42"/>
      <c r="K37" s="49" t="s">
        <v>159</v>
      </c>
      <c r="L37" s="1" t="s">
        <v>160</v>
      </c>
      <c r="Q37" s="5"/>
    </row>
    <row r="38" spans="1:31" s="11" customFormat="1">
      <c r="A38" s="10" t="s">
        <v>36</v>
      </c>
      <c r="B38" s="33" t="s">
        <v>161</v>
      </c>
      <c r="C38" s="37" t="s">
        <v>161</v>
      </c>
      <c r="D38" s="11" t="s">
        <v>93</v>
      </c>
      <c r="E38" s="37" t="s">
        <v>161</v>
      </c>
      <c r="F38" s="11" t="s">
        <v>162</v>
      </c>
      <c r="G38" s="12"/>
      <c r="H38" s="11" t="s">
        <v>147</v>
      </c>
      <c r="I38" s="14"/>
      <c r="J38" s="45"/>
      <c r="K38" s="50" t="s">
        <v>159</v>
      </c>
      <c r="L38" s="11" t="s">
        <v>163</v>
      </c>
      <c r="M38" s="11" t="s">
        <v>149</v>
      </c>
      <c r="N38" s="11">
        <v>0.39500000000000002</v>
      </c>
      <c r="O38" s="11">
        <v>0.6</v>
      </c>
      <c r="P38" s="11">
        <v>18.760000000000002</v>
      </c>
      <c r="Q38" s="17">
        <v>0</v>
      </c>
      <c r="R38" s="11" t="s">
        <v>63</v>
      </c>
      <c r="S38" s="11" t="s">
        <v>164</v>
      </c>
      <c r="T38" s="67">
        <v>1.899</v>
      </c>
      <c r="U38" s="11">
        <v>0.13900000000000001</v>
      </c>
      <c r="V38" s="11">
        <v>17146</v>
      </c>
      <c r="X38" s="11">
        <v>100</v>
      </c>
      <c r="Y38" s="11">
        <v>10</v>
      </c>
      <c r="Z38" s="11">
        <v>1.91</v>
      </c>
      <c r="AA38" s="11">
        <v>0.127</v>
      </c>
      <c r="AB38" s="11">
        <v>89.5</v>
      </c>
      <c r="AC38" s="11">
        <v>1.863</v>
      </c>
      <c r="AD38" s="11">
        <v>1.863</v>
      </c>
      <c r="AE38" s="11">
        <v>2.0939999999999999</v>
      </c>
    </row>
    <row r="39" spans="1:31" s="11" customFormat="1">
      <c r="A39" s="10" t="s">
        <v>36</v>
      </c>
      <c r="B39" s="33" t="s">
        <v>165</v>
      </c>
      <c r="C39" s="37" t="s">
        <v>165</v>
      </c>
      <c r="D39" s="11" t="s">
        <v>93</v>
      </c>
      <c r="E39" s="37" t="s">
        <v>165</v>
      </c>
      <c r="F39" s="11" t="s">
        <v>166</v>
      </c>
      <c r="G39" s="12"/>
      <c r="H39" s="11" t="s">
        <v>167</v>
      </c>
      <c r="I39" s="14"/>
      <c r="J39" s="45"/>
      <c r="K39" s="50" t="s">
        <v>112</v>
      </c>
      <c r="L39" s="11" t="s">
        <v>168</v>
      </c>
      <c r="M39" s="11" t="s">
        <v>51</v>
      </c>
      <c r="N39" s="11">
        <v>0.26</v>
      </c>
      <c r="O39" s="11">
        <v>1.4</v>
      </c>
      <c r="P39" s="11">
        <v>7.61</v>
      </c>
      <c r="Q39" s="17">
        <v>0</v>
      </c>
      <c r="R39" s="11" t="s">
        <v>63</v>
      </c>
      <c r="S39" s="11" t="s">
        <v>169</v>
      </c>
      <c r="T39" s="67">
        <v>1.96</v>
      </c>
      <c r="U39" s="11">
        <v>0.218</v>
      </c>
      <c r="V39" s="11">
        <v>13215</v>
      </c>
      <c r="X39" s="11">
        <v>85.4</v>
      </c>
      <c r="Y39" s="11">
        <v>8</v>
      </c>
      <c r="Z39" s="11">
        <v>2.0059999999999998</v>
      </c>
      <c r="AA39" s="11">
        <v>0.20100000000000001</v>
      </c>
      <c r="AB39" s="11">
        <v>72.099999999999994</v>
      </c>
      <c r="AC39" s="11">
        <v>2.0139999999999998</v>
      </c>
      <c r="AD39" s="11">
        <v>2.0139999999999998</v>
      </c>
      <c r="AE39" s="11">
        <v>2.3519999999999999</v>
      </c>
    </row>
    <row r="40" spans="1:31" s="11" customFormat="1">
      <c r="A40" s="10" t="s">
        <v>36</v>
      </c>
      <c r="B40" s="33" t="s">
        <v>170</v>
      </c>
      <c r="C40" s="37" t="s">
        <v>170</v>
      </c>
      <c r="D40" s="11" t="s">
        <v>93</v>
      </c>
      <c r="E40" s="37" t="s">
        <v>170</v>
      </c>
      <c r="F40" s="11" t="s">
        <v>166</v>
      </c>
      <c r="G40" s="12"/>
      <c r="H40" s="11" t="s">
        <v>167</v>
      </c>
      <c r="I40" s="14"/>
      <c r="J40" s="45"/>
      <c r="K40" s="50" t="s">
        <v>112</v>
      </c>
      <c r="L40" s="11" t="s">
        <v>171</v>
      </c>
      <c r="M40" s="11" t="s">
        <v>149</v>
      </c>
      <c r="N40" s="11">
        <v>0.31</v>
      </c>
      <c r="O40" s="11">
        <v>0.5</v>
      </c>
      <c r="P40" s="11">
        <v>12.05</v>
      </c>
      <c r="Q40" s="17">
        <v>0</v>
      </c>
      <c r="R40" s="11" t="s">
        <v>67</v>
      </c>
      <c r="S40" s="11" t="s">
        <v>172</v>
      </c>
      <c r="T40" s="67">
        <v>1.6519999999999999</v>
      </c>
      <c r="U40" s="11">
        <v>0.107</v>
      </c>
      <c r="V40" s="11">
        <v>21956</v>
      </c>
      <c r="X40" s="11">
        <v>86.2</v>
      </c>
      <c r="Y40" s="11">
        <v>8.1999999999999993</v>
      </c>
      <c r="Z40" s="11">
        <v>1.67</v>
      </c>
      <c r="AA40" s="11">
        <v>0.106</v>
      </c>
      <c r="AB40" s="11">
        <v>78.3</v>
      </c>
      <c r="AC40" s="11">
        <v>1.6919999999999999</v>
      </c>
      <c r="AD40" s="11">
        <v>1.6919999999999999</v>
      </c>
      <c r="AE40" s="11">
        <v>1.7470000000000001</v>
      </c>
    </row>
    <row r="41" spans="1:31">
      <c r="A41" s="2" t="s">
        <v>36</v>
      </c>
      <c r="B41" s="32" t="s">
        <v>173</v>
      </c>
      <c r="C41" s="36" t="s">
        <v>173</v>
      </c>
      <c r="D41" s="1" t="s">
        <v>93</v>
      </c>
      <c r="E41" s="36" t="s">
        <v>173</v>
      </c>
      <c r="F41" s="1" t="s">
        <v>166</v>
      </c>
      <c r="G41" s="3"/>
      <c r="H41" s="1" t="s">
        <v>167</v>
      </c>
      <c r="I41" s="4"/>
      <c r="J41" s="42"/>
      <c r="K41" s="49" t="s">
        <v>112</v>
      </c>
      <c r="L41" s="1" t="s">
        <v>174</v>
      </c>
    </row>
    <row r="42" spans="1:31" s="11" customFormat="1">
      <c r="A42" s="10" t="s">
        <v>36</v>
      </c>
      <c r="B42" s="33" t="s">
        <v>175</v>
      </c>
      <c r="C42" s="37" t="s">
        <v>175</v>
      </c>
      <c r="D42" s="11" t="s">
        <v>93</v>
      </c>
      <c r="E42" s="37" t="s">
        <v>175</v>
      </c>
      <c r="F42" s="11" t="s">
        <v>166</v>
      </c>
      <c r="G42" s="12"/>
      <c r="H42" s="11" t="s">
        <v>167</v>
      </c>
      <c r="I42" s="14"/>
      <c r="J42" s="45"/>
      <c r="K42" s="50" t="s">
        <v>112</v>
      </c>
      <c r="L42" s="11" t="s">
        <v>176</v>
      </c>
      <c r="M42" s="11" t="s">
        <v>149</v>
      </c>
      <c r="N42" s="11">
        <v>0.157</v>
      </c>
      <c r="O42" s="11">
        <v>0.7</v>
      </c>
      <c r="P42" s="11">
        <v>15.68</v>
      </c>
      <c r="Q42" s="17">
        <v>0</v>
      </c>
      <c r="R42" s="11" t="s">
        <v>102</v>
      </c>
      <c r="S42" s="11" t="s">
        <v>177</v>
      </c>
      <c r="T42" s="67">
        <v>1.9370000000000001</v>
      </c>
      <c r="U42" s="11">
        <v>0.13900000000000001</v>
      </c>
      <c r="V42" s="11">
        <v>42937</v>
      </c>
      <c r="X42" s="11">
        <v>87.9</v>
      </c>
      <c r="Y42" s="11">
        <v>3.2</v>
      </c>
      <c r="Z42" s="11">
        <v>1.9330000000000001</v>
      </c>
      <c r="AA42" s="11">
        <v>0.124</v>
      </c>
      <c r="AB42" s="11">
        <v>64.3</v>
      </c>
      <c r="AC42" s="11">
        <v>2.0190000000000001</v>
      </c>
      <c r="AD42" s="11">
        <v>2.0950000000000002</v>
      </c>
      <c r="AE42" s="11">
        <v>2.2559999999999998</v>
      </c>
    </row>
    <row r="43" spans="1:31" s="11" customFormat="1">
      <c r="A43" s="10" t="s">
        <v>36</v>
      </c>
      <c r="B43" s="33" t="s">
        <v>178</v>
      </c>
      <c r="C43" s="37" t="s">
        <v>178</v>
      </c>
      <c r="D43" s="11" t="s">
        <v>93</v>
      </c>
      <c r="E43" s="37" t="s">
        <v>178</v>
      </c>
      <c r="F43" s="11" t="s">
        <v>166</v>
      </c>
      <c r="G43" s="12"/>
      <c r="H43" s="11" t="s">
        <v>167</v>
      </c>
      <c r="I43" s="14"/>
      <c r="J43" s="45"/>
      <c r="K43" s="50" t="s">
        <v>179</v>
      </c>
      <c r="L43" s="11" t="s">
        <v>176</v>
      </c>
      <c r="M43" s="11" t="s">
        <v>51</v>
      </c>
      <c r="N43" s="11">
        <v>0.08</v>
      </c>
      <c r="O43" s="11">
        <v>0.35</v>
      </c>
      <c r="P43" s="11">
        <v>20.05</v>
      </c>
      <c r="Q43" s="17">
        <v>0</v>
      </c>
      <c r="R43" s="11" t="s">
        <v>137</v>
      </c>
      <c r="S43" s="11" t="s">
        <v>180</v>
      </c>
      <c r="T43" s="67">
        <v>1.748</v>
      </c>
      <c r="U43" s="11">
        <v>7.0000000000000007E-2</v>
      </c>
      <c r="V43" s="11">
        <v>16822</v>
      </c>
      <c r="X43" s="11">
        <v>79.3</v>
      </c>
      <c r="Y43" s="11">
        <v>7.6</v>
      </c>
      <c r="Z43" s="11">
        <v>1.7470000000000001</v>
      </c>
      <c r="AA43" s="11">
        <v>7.0000000000000007E-2</v>
      </c>
      <c r="AB43" s="11">
        <v>77.8</v>
      </c>
      <c r="AC43" s="11">
        <v>1.756</v>
      </c>
      <c r="AD43" s="11">
        <v>1.756</v>
      </c>
      <c r="AE43" s="11">
        <v>1.7629999999999999</v>
      </c>
    </row>
    <row r="44" spans="1:31">
      <c r="A44" s="2" t="s">
        <v>36</v>
      </c>
      <c r="B44" s="32" t="s">
        <v>181</v>
      </c>
      <c r="C44" s="36" t="s">
        <v>181</v>
      </c>
      <c r="D44" s="1" t="s">
        <v>93</v>
      </c>
      <c r="E44" s="36" t="s">
        <v>181</v>
      </c>
      <c r="F44" s="1" t="s">
        <v>166</v>
      </c>
      <c r="G44" s="3"/>
      <c r="H44" s="1" t="s">
        <v>167</v>
      </c>
      <c r="I44" s="3"/>
      <c r="J44" s="43"/>
      <c r="K44" s="49" t="s">
        <v>179</v>
      </c>
      <c r="L44" s="1" t="s">
        <v>160</v>
      </c>
      <c r="Q44" s="5"/>
    </row>
    <row r="45" spans="1:31">
      <c r="A45" s="2" t="s">
        <v>36</v>
      </c>
      <c r="B45" s="32" t="s">
        <v>182</v>
      </c>
      <c r="C45" s="36" t="s">
        <v>182</v>
      </c>
      <c r="D45" s="1" t="s">
        <v>93</v>
      </c>
      <c r="E45" s="36" t="s">
        <v>182</v>
      </c>
      <c r="F45" s="1" t="s">
        <v>166</v>
      </c>
      <c r="G45" s="3"/>
      <c r="H45" s="1" t="s">
        <v>167</v>
      </c>
      <c r="I45" s="4"/>
      <c r="J45" s="42"/>
      <c r="K45" s="49" t="s">
        <v>183</v>
      </c>
      <c r="L45" s="1" t="s">
        <v>144</v>
      </c>
      <c r="Q45" s="5"/>
    </row>
    <row r="46" spans="1:31">
      <c r="A46" s="2" t="s">
        <v>36</v>
      </c>
      <c r="B46" s="32" t="s">
        <v>184</v>
      </c>
      <c r="C46" s="36" t="s">
        <v>184</v>
      </c>
      <c r="D46" s="1" t="s">
        <v>93</v>
      </c>
      <c r="E46" s="36" t="s">
        <v>184</v>
      </c>
      <c r="F46" s="1" t="s">
        <v>166</v>
      </c>
      <c r="G46" s="3"/>
      <c r="H46" s="1" t="s">
        <v>167</v>
      </c>
      <c r="I46" s="3"/>
      <c r="J46" s="43"/>
      <c r="K46" s="49" t="s">
        <v>183</v>
      </c>
      <c r="L46" s="1" t="s">
        <v>160</v>
      </c>
      <c r="Q46" s="5"/>
    </row>
    <row r="47" spans="1:31" s="11" customFormat="1">
      <c r="A47" s="10" t="s">
        <v>36</v>
      </c>
      <c r="B47" s="33" t="s">
        <v>185</v>
      </c>
      <c r="C47" s="37" t="s">
        <v>185</v>
      </c>
      <c r="D47" s="11" t="s">
        <v>93</v>
      </c>
      <c r="E47" s="37" t="s">
        <v>185</v>
      </c>
      <c r="F47" s="11" t="s">
        <v>186</v>
      </c>
      <c r="G47" s="12"/>
      <c r="H47" s="11" t="s">
        <v>187</v>
      </c>
      <c r="I47" s="14"/>
      <c r="J47" s="45"/>
      <c r="K47" s="50" t="s">
        <v>159</v>
      </c>
      <c r="L47" s="11" t="s">
        <v>188</v>
      </c>
      <c r="M47" s="11" t="s">
        <v>51</v>
      </c>
      <c r="N47" s="11">
        <v>0.214</v>
      </c>
      <c r="O47" s="11">
        <v>0.5</v>
      </c>
      <c r="P47" s="11">
        <v>22.89</v>
      </c>
      <c r="Q47" s="17">
        <v>0</v>
      </c>
      <c r="R47" s="11" t="s">
        <v>63</v>
      </c>
      <c r="S47" s="11" t="s">
        <v>189</v>
      </c>
      <c r="T47" s="67">
        <v>1.5489999999999999</v>
      </c>
      <c r="U47" s="11">
        <v>5.2999999999999999E-2</v>
      </c>
      <c r="V47" s="11">
        <v>27936</v>
      </c>
      <c r="X47" s="11">
        <v>80.8</v>
      </c>
      <c r="Y47" s="11">
        <v>7.5</v>
      </c>
      <c r="Z47" s="11">
        <v>1.552</v>
      </c>
      <c r="AA47" s="11">
        <v>5.2999999999999999E-2</v>
      </c>
      <c r="AB47" s="11">
        <v>80.900000000000006</v>
      </c>
      <c r="AC47" s="11">
        <v>1.538</v>
      </c>
      <c r="AD47" s="11">
        <v>1.538</v>
      </c>
      <c r="AE47" s="11">
        <v>1.569</v>
      </c>
    </row>
    <row r="48" spans="1:31" s="11" customFormat="1">
      <c r="A48" s="10" t="s">
        <v>36</v>
      </c>
      <c r="B48" s="33" t="s">
        <v>190</v>
      </c>
      <c r="C48" s="37" t="s">
        <v>190</v>
      </c>
      <c r="D48" s="11" t="s">
        <v>93</v>
      </c>
      <c r="E48" s="37" t="s">
        <v>190</v>
      </c>
      <c r="F48" s="11" t="s">
        <v>191</v>
      </c>
      <c r="G48" s="12"/>
      <c r="H48" s="11" t="s">
        <v>187</v>
      </c>
      <c r="I48" s="14"/>
      <c r="J48" s="45"/>
      <c r="K48" s="50" t="s">
        <v>159</v>
      </c>
      <c r="L48" s="11" t="s">
        <v>192</v>
      </c>
      <c r="M48" s="11" t="s">
        <v>130</v>
      </c>
      <c r="N48" s="11">
        <v>0.45</v>
      </c>
      <c r="O48" s="11">
        <v>0.65</v>
      </c>
      <c r="P48" s="11">
        <v>12.03</v>
      </c>
      <c r="Q48" s="17">
        <v>0</v>
      </c>
      <c r="R48" s="11" t="s">
        <v>63</v>
      </c>
      <c r="S48" s="11" t="s">
        <v>193</v>
      </c>
      <c r="T48" s="67">
        <v>1.5649999999999999</v>
      </c>
      <c r="U48" s="11">
        <v>0.11899999999999999</v>
      </c>
      <c r="V48" s="11">
        <v>24384</v>
      </c>
      <c r="X48" s="11">
        <v>73.2</v>
      </c>
      <c r="Y48" s="11">
        <v>8.1</v>
      </c>
      <c r="Z48" s="11">
        <v>1.593</v>
      </c>
      <c r="AA48" s="11">
        <v>0.11799999999999999</v>
      </c>
      <c r="AB48" s="11">
        <v>74.2</v>
      </c>
      <c r="AC48" s="11">
        <v>1.593</v>
      </c>
      <c r="AD48" s="11">
        <v>1.593</v>
      </c>
      <c r="AE48" s="11">
        <v>1.696</v>
      </c>
    </row>
    <row r="49" spans="1:35" s="11" customFormat="1">
      <c r="A49" s="10" t="s">
        <v>36</v>
      </c>
      <c r="B49" s="33" t="s">
        <v>194</v>
      </c>
      <c r="C49" s="37" t="s">
        <v>194</v>
      </c>
      <c r="D49" s="11" t="s">
        <v>93</v>
      </c>
      <c r="E49" s="37" t="s">
        <v>194</v>
      </c>
      <c r="F49" s="11" t="s">
        <v>191</v>
      </c>
      <c r="G49" s="12"/>
      <c r="H49" s="11" t="s">
        <v>187</v>
      </c>
      <c r="I49" s="14"/>
      <c r="J49" s="45"/>
      <c r="K49" s="50" t="s">
        <v>96</v>
      </c>
      <c r="L49" s="11" t="s">
        <v>195</v>
      </c>
      <c r="M49" s="11" t="s">
        <v>51</v>
      </c>
      <c r="N49" s="11">
        <v>0.59</v>
      </c>
      <c r="O49" s="11">
        <v>0.7</v>
      </c>
      <c r="P49" s="11">
        <v>23.24</v>
      </c>
      <c r="Q49" s="17">
        <v>329</v>
      </c>
      <c r="R49" s="11" t="s">
        <v>63</v>
      </c>
      <c r="S49" s="11" t="s">
        <v>196</v>
      </c>
      <c r="T49" s="67">
        <v>1.56</v>
      </c>
      <c r="U49" s="11">
        <v>6.0999999999999999E-2</v>
      </c>
      <c r="V49" s="11">
        <v>27443</v>
      </c>
      <c r="X49" s="11">
        <v>82.3</v>
      </c>
      <c r="Y49" s="11">
        <v>6.2</v>
      </c>
      <c r="Z49" s="11">
        <v>1.5580000000000001</v>
      </c>
      <c r="AA49" s="11">
        <v>6.0999999999999999E-2</v>
      </c>
      <c r="AB49" s="11">
        <v>78.2</v>
      </c>
      <c r="AC49" s="11">
        <v>1.56</v>
      </c>
      <c r="AD49" s="11">
        <v>1.56</v>
      </c>
      <c r="AE49" s="11">
        <v>1.663</v>
      </c>
    </row>
    <row r="50" spans="1:35" s="11" customFormat="1">
      <c r="A50" s="10" t="s">
        <v>36</v>
      </c>
      <c r="B50" s="33" t="s">
        <v>197</v>
      </c>
      <c r="C50" s="37" t="s">
        <v>197</v>
      </c>
      <c r="D50" s="11" t="s">
        <v>93</v>
      </c>
      <c r="E50" s="37" t="s">
        <v>197</v>
      </c>
      <c r="F50" s="11" t="s">
        <v>198</v>
      </c>
      <c r="G50" s="12"/>
      <c r="H50" s="11" t="s">
        <v>187</v>
      </c>
      <c r="I50" s="14"/>
      <c r="J50" s="45"/>
      <c r="K50" s="50" t="s">
        <v>96</v>
      </c>
      <c r="L50" s="11" t="s">
        <v>199</v>
      </c>
      <c r="M50" s="11" t="s">
        <v>149</v>
      </c>
      <c r="N50" s="11">
        <v>0.89800000000000002</v>
      </c>
      <c r="O50" s="11">
        <v>0.35</v>
      </c>
      <c r="P50" s="11">
        <v>19.510000000000002</v>
      </c>
      <c r="Q50" s="17">
        <v>76</v>
      </c>
      <c r="R50" s="11" t="s">
        <v>63</v>
      </c>
      <c r="S50" s="11" t="s">
        <v>200</v>
      </c>
      <c r="T50" s="67">
        <v>1.867</v>
      </c>
      <c r="U50" s="11">
        <v>0.13300000000000001</v>
      </c>
      <c r="V50" s="11">
        <v>18626</v>
      </c>
      <c r="X50" s="11">
        <v>94.6</v>
      </c>
      <c r="Y50" s="11">
        <v>10</v>
      </c>
      <c r="Z50" s="11">
        <v>1.8320000000000001</v>
      </c>
      <c r="AA50" s="11">
        <v>0.13200000000000001</v>
      </c>
      <c r="AB50" s="11">
        <v>89.7</v>
      </c>
      <c r="AC50" s="11">
        <v>1.7849999999999999</v>
      </c>
      <c r="AD50" s="11">
        <v>1.7849999999999999</v>
      </c>
      <c r="AE50" s="11">
        <v>1.8160000000000001</v>
      </c>
    </row>
    <row r="51" spans="1:35" s="11" customFormat="1" ht="12.75">
      <c r="A51" s="10"/>
      <c r="B51" s="33"/>
      <c r="C51" s="37"/>
      <c r="E51" s="37"/>
      <c r="G51" s="12"/>
      <c r="I51" s="14"/>
      <c r="J51" s="45"/>
      <c r="K51" s="50"/>
      <c r="L51" s="11" t="s">
        <v>201</v>
      </c>
      <c r="M51" s="11" t="s">
        <v>130</v>
      </c>
      <c r="N51" s="11">
        <v>0.92</v>
      </c>
      <c r="O51" s="11">
        <v>0.2</v>
      </c>
      <c r="P51" s="11">
        <v>15.01</v>
      </c>
      <c r="Q51" s="17">
        <v>628</v>
      </c>
      <c r="R51" s="11" t="s">
        <v>52</v>
      </c>
      <c r="S51" s="11" t="s">
        <v>202</v>
      </c>
      <c r="T51" s="67">
        <v>1.9650000000000001</v>
      </c>
      <c r="U51" s="11">
        <v>0.19900000000000001</v>
      </c>
      <c r="V51" s="11">
        <v>16114</v>
      </c>
      <c r="X51" s="11">
        <v>94.8</v>
      </c>
      <c r="Y51" s="11">
        <v>6.8</v>
      </c>
      <c r="Z51" s="11">
        <v>1.905</v>
      </c>
      <c r="AA51" s="11">
        <v>0.185</v>
      </c>
      <c r="AB51" s="11">
        <v>82.6</v>
      </c>
      <c r="AC51" s="11">
        <v>1.986</v>
      </c>
      <c r="AD51" s="11">
        <v>1.986</v>
      </c>
      <c r="AE51" s="11">
        <v>1.879</v>
      </c>
    </row>
    <row r="52" spans="1:35" s="11" customFormat="1">
      <c r="A52" s="10" t="s">
        <v>36</v>
      </c>
      <c r="B52" s="33" t="s">
        <v>203</v>
      </c>
      <c r="C52" s="37" t="s">
        <v>203</v>
      </c>
      <c r="D52" s="11" t="s">
        <v>93</v>
      </c>
      <c r="E52" s="37" t="s">
        <v>203</v>
      </c>
      <c r="F52" s="11" t="s">
        <v>198</v>
      </c>
      <c r="G52" s="12"/>
      <c r="H52" s="11" t="s">
        <v>187</v>
      </c>
      <c r="I52" s="14"/>
      <c r="J52" s="45"/>
      <c r="K52" s="50" t="s">
        <v>96</v>
      </c>
      <c r="L52" s="11" t="s">
        <v>204</v>
      </c>
      <c r="M52" s="11" t="s">
        <v>51</v>
      </c>
      <c r="N52" s="11">
        <v>0.12</v>
      </c>
      <c r="O52" s="11">
        <v>1</v>
      </c>
      <c r="P52" s="11">
        <v>16.2</v>
      </c>
      <c r="Q52" s="17">
        <v>0</v>
      </c>
      <c r="R52" s="11" t="s">
        <v>63</v>
      </c>
      <c r="S52" s="11" t="s">
        <v>205</v>
      </c>
      <c r="T52" s="67">
        <v>2.0950000000000002</v>
      </c>
      <c r="U52" s="11">
        <v>0.153</v>
      </c>
      <c r="V52" s="11">
        <v>12850</v>
      </c>
      <c r="X52" s="11">
        <v>94.8</v>
      </c>
      <c r="Y52" s="11">
        <v>10</v>
      </c>
      <c r="Z52" s="11">
        <v>2.0409999999999999</v>
      </c>
      <c r="AA52" s="11">
        <v>0.14799999999999999</v>
      </c>
      <c r="AB52" s="11">
        <v>81.5</v>
      </c>
      <c r="AC52" s="11">
        <v>2.1429999999999998</v>
      </c>
      <c r="AD52" s="11">
        <v>2.1429999999999998</v>
      </c>
      <c r="AE52" s="11">
        <v>1.9990000000000001</v>
      </c>
    </row>
    <row r="53" spans="1:35">
      <c r="A53" s="2" t="s">
        <v>36</v>
      </c>
      <c r="B53" s="32" t="s">
        <v>206</v>
      </c>
      <c r="C53" s="36" t="s">
        <v>206</v>
      </c>
      <c r="D53" s="1" t="s">
        <v>93</v>
      </c>
      <c r="E53" s="36" t="s">
        <v>206</v>
      </c>
      <c r="F53" s="1" t="s">
        <v>198</v>
      </c>
      <c r="G53" s="3"/>
      <c r="H53" s="1" t="s">
        <v>187</v>
      </c>
      <c r="I53" s="4"/>
      <c r="J53" s="42"/>
      <c r="K53" s="49" t="s">
        <v>96</v>
      </c>
      <c r="L53" s="1" t="s">
        <v>207</v>
      </c>
      <c r="Q53" s="5"/>
    </row>
    <row r="54" spans="1:35">
      <c r="A54" s="2" t="s">
        <v>36</v>
      </c>
      <c r="B54" s="32" t="s">
        <v>208</v>
      </c>
      <c r="C54" s="36" t="s">
        <v>208</v>
      </c>
      <c r="D54" s="1" t="s">
        <v>93</v>
      </c>
      <c r="E54" s="36" t="s">
        <v>208</v>
      </c>
      <c r="F54" s="1" t="s">
        <v>209</v>
      </c>
      <c r="G54" s="3"/>
      <c r="H54" s="1" t="s">
        <v>210</v>
      </c>
      <c r="I54" s="4"/>
      <c r="J54" s="42"/>
      <c r="K54" s="49" t="s">
        <v>96</v>
      </c>
      <c r="L54" s="1" t="s">
        <v>211</v>
      </c>
      <c r="Q54" s="5"/>
    </row>
    <row r="55" spans="1:35" s="11" customFormat="1">
      <c r="A55" s="10" t="s">
        <v>36</v>
      </c>
      <c r="B55" s="33" t="s">
        <v>212</v>
      </c>
      <c r="C55" s="37" t="s">
        <v>212</v>
      </c>
      <c r="D55" s="11" t="s">
        <v>93</v>
      </c>
      <c r="E55" s="37" t="s">
        <v>212</v>
      </c>
      <c r="F55" s="11" t="s">
        <v>209</v>
      </c>
      <c r="G55" s="12"/>
      <c r="H55" s="11" t="s">
        <v>210</v>
      </c>
      <c r="I55" s="14"/>
      <c r="J55" s="45"/>
      <c r="K55" s="50" t="s">
        <v>96</v>
      </c>
      <c r="L55" s="11" t="s">
        <v>204</v>
      </c>
      <c r="M55" s="11" t="s">
        <v>149</v>
      </c>
      <c r="N55" s="11">
        <v>0.46</v>
      </c>
      <c r="O55" s="11">
        <v>0.6</v>
      </c>
      <c r="P55" s="11">
        <v>13.92</v>
      </c>
      <c r="Q55" s="17">
        <v>313</v>
      </c>
      <c r="R55" s="11" t="s">
        <v>63</v>
      </c>
      <c r="S55" s="11" t="s">
        <v>213</v>
      </c>
      <c r="T55" s="67">
        <v>1.4810000000000001</v>
      </c>
      <c r="U55" s="11">
        <v>0.123</v>
      </c>
      <c r="V55" s="11">
        <v>34092</v>
      </c>
      <c r="X55" s="11">
        <v>94.1</v>
      </c>
      <c r="Y55" s="11">
        <v>8.1</v>
      </c>
      <c r="Z55" s="11">
        <v>1.4870000000000001</v>
      </c>
      <c r="AA55" s="11">
        <v>0.11600000000000001</v>
      </c>
      <c r="AB55" s="11">
        <v>81.5</v>
      </c>
      <c r="AC55" s="11">
        <v>1.506</v>
      </c>
      <c r="AD55" s="11">
        <v>1.506</v>
      </c>
      <c r="AE55" s="11">
        <v>1.57</v>
      </c>
    </row>
    <row r="56" spans="1:35" s="11" customFormat="1">
      <c r="A56" s="10" t="s">
        <v>36</v>
      </c>
      <c r="B56" s="33" t="s">
        <v>214</v>
      </c>
      <c r="C56" s="37" t="s">
        <v>214</v>
      </c>
      <c r="D56" s="11" t="s">
        <v>93</v>
      </c>
      <c r="E56" s="37" t="s">
        <v>214</v>
      </c>
      <c r="F56" s="11" t="s">
        <v>209</v>
      </c>
      <c r="G56" s="12"/>
      <c r="H56" s="11" t="s">
        <v>210</v>
      </c>
      <c r="I56" s="14"/>
      <c r="J56" s="45"/>
      <c r="K56" s="50" t="s">
        <v>183</v>
      </c>
      <c r="L56" s="11" t="s">
        <v>204</v>
      </c>
      <c r="M56" s="11" t="s">
        <v>149</v>
      </c>
      <c r="N56" s="11">
        <v>0.69799999999999995</v>
      </c>
      <c r="O56" s="11">
        <v>0.3</v>
      </c>
      <c r="P56" s="11">
        <v>14.63</v>
      </c>
      <c r="Q56" s="17">
        <v>0</v>
      </c>
      <c r="R56" s="11" t="s">
        <v>67</v>
      </c>
      <c r="S56" s="11" t="s">
        <v>215</v>
      </c>
      <c r="T56" s="67">
        <v>1.4490000000000001</v>
      </c>
      <c r="U56" s="11">
        <v>0.11</v>
      </c>
      <c r="V56" s="11">
        <v>38678</v>
      </c>
      <c r="X56" s="11">
        <v>100</v>
      </c>
      <c r="Y56" s="11">
        <v>10.3</v>
      </c>
      <c r="Z56" s="11">
        <v>1.48</v>
      </c>
      <c r="AA56" s="11">
        <v>0.104</v>
      </c>
      <c r="AB56" s="11">
        <v>91.3</v>
      </c>
      <c r="AC56" s="11">
        <v>1.4950000000000001</v>
      </c>
      <c r="AD56" s="11">
        <v>1.4950000000000001</v>
      </c>
      <c r="AE56" s="11">
        <v>1.5149999999999999</v>
      </c>
    </row>
    <row r="57" spans="1:35" s="11" customFormat="1">
      <c r="A57" s="10" t="s">
        <v>36</v>
      </c>
      <c r="B57" s="33" t="s">
        <v>216</v>
      </c>
      <c r="C57" s="37" t="s">
        <v>216</v>
      </c>
      <c r="D57" s="15" t="s">
        <v>93</v>
      </c>
      <c r="E57" s="37" t="s">
        <v>216</v>
      </c>
      <c r="F57" s="16" t="s">
        <v>217</v>
      </c>
      <c r="G57" s="12"/>
      <c r="H57" s="11" t="s">
        <v>218</v>
      </c>
      <c r="I57" s="14"/>
      <c r="J57" s="45"/>
      <c r="K57" s="52" t="s">
        <v>96</v>
      </c>
      <c r="L57" s="11" t="s">
        <v>204</v>
      </c>
      <c r="M57" s="11" t="s">
        <v>130</v>
      </c>
      <c r="N57" s="11">
        <v>0.59499999999999997</v>
      </c>
      <c r="O57" s="11">
        <v>0.26</v>
      </c>
      <c r="P57" s="11">
        <v>18.309999999999999</v>
      </c>
      <c r="Q57" s="17">
        <v>0</v>
      </c>
      <c r="R57" s="11" t="s">
        <v>63</v>
      </c>
      <c r="S57" s="11" t="s">
        <v>219</v>
      </c>
      <c r="T57" s="67">
        <v>1.4370000000000001</v>
      </c>
      <c r="U57" s="11">
        <v>8.6999999999999994E-2</v>
      </c>
      <c r="V57" s="11">
        <v>39441</v>
      </c>
      <c r="X57" s="11">
        <v>92.9</v>
      </c>
      <c r="Y57" s="11">
        <v>9.6999999999999993</v>
      </c>
      <c r="Z57" s="11">
        <v>1.3520000000000001</v>
      </c>
      <c r="AA57" s="11">
        <v>8.5999999999999993E-2</v>
      </c>
      <c r="AB57" s="11">
        <v>74.5</v>
      </c>
      <c r="AC57" s="11">
        <v>1.361</v>
      </c>
      <c r="AD57" s="11">
        <v>1.361</v>
      </c>
      <c r="AE57" s="11">
        <v>1.6040000000000001</v>
      </c>
    </row>
    <row r="58" spans="1:35" s="18" customFormat="1">
      <c r="A58" s="19" t="s">
        <v>36</v>
      </c>
      <c r="B58" s="34" t="s">
        <v>220</v>
      </c>
      <c r="C58" s="38" t="s">
        <v>220</v>
      </c>
      <c r="D58" s="23" t="s">
        <v>221</v>
      </c>
      <c r="E58" s="38" t="s">
        <v>220</v>
      </c>
      <c r="F58" s="24" t="s">
        <v>222</v>
      </c>
      <c r="G58" s="20"/>
      <c r="H58" s="18" t="s">
        <v>223</v>
      </c>
      <c r="I58" s="21"/>
      <c r="J58" s="46"/>
      <c r="K58" s="54" t="s">
        <v>96</v>
      </c>
      <c r="L58" s="18" t="s">
        <v>204</v>
      </c>
      <c r="M58" s="18" t="s">
        <v>130</v>
      </c>
      <c r="N58" s="18">
        <v>0.747</v>
      </c>
      <c r="O58" s="18">
        <v>0.25</v>
      </c>
      <c r="P58" s="18">
        <v>20.71</v>
      </c>
      <c r="Q58" s="22">
        <v>0</v>
      </c>
      <c r="R58" s="18" t="s">
        <v>63</v>
      </c>
      <c r="S58" s="18" t="s">
        <v>224</v>
      </c>
      <c r="T58" s="67">
        <v>1.224</v>
      </c>
      <c r="U58" s="18">
        <v>7.5999999999999998E-2</v>
      </c>
      <c r="V58" s="18">
        <v>62646</v>
      </c>
      <c r="X58" s="18">
        <v>92.2</v>
      </c>
      <c r="Y58" s="18">
        <v>9.8000000000000007</v>
      </c>
      <c r="Z58" s="18">
        <v>1.212</v>
      </c>
      <c r="AA58" s="18">
        <v>7.2999999999999995E-2</v>
      </c>
      <c r="AB58" s="18">
        <v>82.9</v>
      </c>
      <c r="AC58" s="18">
        <v>1.2310000000000001</v>
      </c>
      <c r="AD58" s="18">
        <v>1.2310000000000001</v>
      </c>
      <c r="AE58" s="18">
        <v>1.2549999999999999</v>
      </c>
    </row>
    <row r="59" spans="1:35">
      <c r="A59" s="2" t="s">
        <v>36</v>
      </c>
      <c r="B59" s="32" t="s">
        <v>225</v>
      </c>
      <c r="C59" s="36" t="s">
        <v>225</v>
      </c>
      <c r="D59" s="6" t="s">
        <v>221</v>
      </c>
      <c r="E59" s="36" t="s">
        <v>225</v>
      </c>
      <c r="F59" s="7" t="s">
        <v>222</v>
      </c>
      <c r="G59" s="3"/>
      <c r="H59" s="1" t="s">
        <v>226</v>
      </c>
      <c r="I59" s="4"/>
      <c r="J59" s="42"/>
      <c r="K59" s="53" t="s">
        <v>183</v>
      </c>
      <c r="L59" s="1" t="s">
        <v>211</v>
      </c>
      <c r="Q59" s="5"/>
    </row>
    <row r="60" spans="1:35">
      <c r="A60" s="2" t="s">
        <v>36</v>
      </c>
      <c r="B60" s="32" t="s">
        <v>227</v>
      </c>
      <c r="C60" s="36" t="s">
        <v>227</v>
      </c>
      <c r="D60" s="6" t="s">
        <v>221</v>
      </c>
      <c r="E60" s="36" t="s">
        <v>227</v>
      </c>
      <c r="F60" s="7" t="s">
        <v>222</v>
      </c>
      <c r="G60" s="3"/>
      <c r="H60" s="1" t="s">
        <v>226</v>
      </c>
      <c r="I60" s="4"/>
      <c r="J60" s="42"/>
      <c r="K60" s="53" t="s">
        <v>183</v>
      </c>
      <c r="L60" s="1" t="s">
        <v>228</v>
      </c>
      <c r="Q60" s="5"/>
    </row>
    <row r="61" spans="1:35" s="11" customFormat="1">
      <c r="A61" s="10" t="s">
        <v>36</v>
      </c>
      <c r="B61" s="33" t="s">
        <v>229</v>
      </c>
      <c r="C61" s="37" t="s">
        <v>229</v>
      </c>
      <c r="D61" s="15" t="s">
        <v>221</v>
      </c>
      <c r="E61" s="37" t="s">
        <v>229</v>
      </c>
      <c r="F61" s="16" t="s">
        <v>222</v>
      </c>
      <c r="G61" s="12"/>
      <c r="H61" s="11" t="s">
        <v>223</v>
      </c>
      <c r="I61" s="14"/>
      <c r="J61" s="45"/>
      <c r="K61" s="52" t="s">
        <v>96</v>
      </c>
      <c r="L61" s="11" t="s">
        <v>230</v>
      </c>
      <c r="M61" s="11" t="s">
        <v>78</v>
      </c>
      <c r="N61" s="11">
        <v>0.64</v>
      </c>
      <c r="O61" s="11">
        <v>0.38</v>
      </c>
      <c r="P61" s="11">
        <v>18.8</v>
      </c>
      <c r="Q61" s="17">
        <v>147</v>
      </c>
      <c r="R61" s="11" t="s">
        <v>67</v>
      </c>
      <c r="S61" s="11" t="s">
        <v>231</v>
      </c>
      <c r="T61" s="67">
        <v>1.6160000000000001</v>
      </c>
      <c r="U61" s="11">
        <v>0.11</v>
      </c>
      <c r="V61" s="11">
        <v>26092</v>
      </c>
      <c r="X61" s="11">
        <v>94.2</v>
      </c>
      <c r="Y61" s="11">
        <v>9.1999999999999993</v>
      </c>
      <c r="Z61" s="11">
        <v>1.647</v>
      </c>
      <c r="AA61" s="11">
        <v>0.10199999999999999</v>
      </c>
      <c r="AB61" s="11">
        <v>85.3</v>
      </c>
      <c r="AC61" s="11">
        <v>1.6719999999999999</v>
      </c>
      <c r="AD61" s="11">
        <v>1.6719999999999999</v>
      </c>
      <c r="AE61" s="11">
        <v>1.655</v>
      </c>
    </row>
    <row r="62" spans="1:35" s="18" customFormat="1">
      <c r="A62" s="19" t="s">
        <v>36</v>
      </c>
      <c r="B62" s="34" t="s">
        <v>232</v>
      </c>
      <c r="C62" s="38" t="s">
        <v>232</v>
      </c>
      <c r="D62" s="23" t="s">
        <v>221</v>
      </c>
      <c r="E62" s="38" t="s">
        <v>232</v>
      </c>
      <c r="F62" s="24" t="s">
        <v>222</v>
      </c>
      <c r="G62" s="20"/>
      <c r="H62" s="18" t="s">
        <v>223</v>
      </c>
      <c r="I62" s="21"/>
      <c r="J62" s="46"/>
      <c r="K62" s="54" t="s">
        <v>96</v>
      </c>
      <c r="L62" s="18" t="s">
        <v>233</v>
      </c>
      <c r="M62" s="18" t="s">
        <v>130</v>
      </c>
      <c r="N62" s="18">
        <v>0.95099999999999996</v>
      </c>
      <c r="O62" s="18">
        <v>0.16</v>
      </c>
      <c r="P62" s="18">
        <v>17.239999999999998</v>
      </c>
      <c r="Q62" s="22">
        <v>619</v>
      </c>
      <c r="R62" s="18" t="s">
        <v>63</v>
      </c>
      <c r="S62" s="18" t="s">
        <v>234</v>
      </c>
      <c r="T62" s="67">
        <v>1.2130000000000001</v>
      </c>
      <c r="U62" s="18">
        <v>8.7999999999999995E-2</v>
      </c>
      <c r="V62" s="18">
        <v>70333</v>
      </c>
      <c r="X62" s="18">
        <v>99.9</v>
      </c>
      <c r="Y62" s="18">
        <v>6.8</v>
      </c>
      <c r="Z62" s="18">
        <v>1.1919999999999999</v>
      </c>
      <c r="AA62" s="18">
        <v>8.5999999999999993E-2</v>
      </c>
      <c r="AB62" s="18">
        <v>88.8</v>
      </c>
      <c r="AC62" s="18">
        <v>1.194</v>
      </c>
      <c r="AD62" s="18">
        <v>1.194</v>
      </c>
      <c r="AE62" s="18">
        <v>1.2829999999999999</v>
      </c>
      <c r="AF62" s="18" t="s">
        <v>235</v>
      </c>
      <c r="AG62" s="18">
        <v>6898.5990000000002</v>
      </c>
      <c r="AH62" s="18">
        <v>57.6</v>
      </c>
      <c r="AI62" s="18" t="s">
        <v>86</v>
      </c>
    </row>
    <row r="63" spans="1:35" s="18" customFormat="1">
      <c r="A63" s="19"/>
      <c r="B63" s="34"/>
      <c r="C63" s="38"/>
      <c r="D63" s="23"/>
      <c r="E63" s="38"/>
      <c r="F63" s="24"/>
      <c r="G63" s="20"/>
      <c r="I63" s="21"/>
      <c r="J63" s="46"/>
      <c r="K63" s="54"/>
      <c r="L63" s="18" t="s">
        <v>129</v>
      </c>
      <c r="M63" s="18" t="s">
        <v>130</v>
      </c>
      <c r="N63" s="18">
        <v>0.95</v>
      </c>
      <c r="O63" s="18">
        <v>0.17</v>
      </c>
      <c r="P63" s="18">
        <v>16.93</v>
      </c>
      <c r="Q63" s="22">
        <v>593</v>
      </c>
      <c r="R63" s="18" t="s">
        <v>236</v>
      </c>
      <c r="S63" s="18" t="s">
        <v>237</v>
      </c>
      <c r="T63" s="67">
        <v>1.236</v>
      </c>
      <c r="U63" s="18">
        <v>8.7999999999999995E-2</v>
      </c>
      <c r="V63" s="18">
        <v>66550</v>
      </c>
      <c r="X63" s="18">
        <v>99.9</v>
      </c>
      <c r="Y63" s="18">
        <v>6.9</v>
      </c>
      <c r="Z63" s="18">
        <v>1.198</v>
      </c>
      <c r="AA63" s="18">
        <v>8.7999999999999995E-2</v>
      </c>
      <c r="AB63" s="18">
        <v>88.6</v>
      </c>
      <c r="AC63" s="18">
        <v>1.1990000000000001</v>
      </c>
      <c r="AD63" s="18">
        <v>1.1990000000000001</v>
      </c>
      <c r="AE63" s="18">
        <v>1.29</v>
      </c>
      <c r="AF63" s="18" t="s">
        <v>235</v>
      </c>
      <c r="AG63" s="18">
        <v>6792.9210000000003</v>
      </c>
      <c r="AH63" s="18">
        <v>53.4</v>
      </c>
    </row>
    <row r="64" spans="1:35" s="11" customFormat="1">
      <c r="A64" s="10" t="s">
        <v>36</v>
      </c>
      <c r="B64" s="33" t="s">
        <v>238</v>
      </c>
      <c r="C64" s="37" t="s">
        <v>238</v>
      </c>
      <c r="D64" s="15" t="s">
        <v>221</v>
      </c>
      <c r="E64" s="37" t="s">
        <v>238</v>
      </c>
      <c r="F64" s="16" t="s">
        <v>222</v>
      </c>
      <c r="G64" s="12"/>
      <c r="H64" s="11" t="s">
        <v>239</v>
      </c>
      <c r="I64" s="14"/>
      <c r="J64" s="45"/>
      <c r="K64" s="52" t="s">
        <v>240</v>
      </c>
      <c r="L64" s="11" t="s">
        <v>241</v>
      </c>
      <c r="M64" s="11" t="s">
        <v>130</v>
      </c>
      <c r="N64" s="11">
        <v>0.32300000000000001</v>
      </c>
      <c r="O64" s="11">
        <v>0.23499999999999999</v>
      </c>
      <c r="P64" s="11">
        <v>17.670000000000002</v>
      </c>
      <c r="Q64" s="11">
        <v>183</v>
      </c>
      <c r="R64" s="11" t="s">
        <v>63</v>
      </c>
      <c r="S64" s="11" t="s">
        <v>242</v>
      </c>
      <c r="T64" s="67">
        <v>1.2410000000000001</v>
      </c>
      <c r="U64" s="11">
        <v>0.107</v>
      </c>
      <c r="V64" s="11">
        <v>61597</v>
      </c>
      <c r="X64" s="11">
        <v>94.6</v>
      </c>
      <c r="Y64" s="11">
        <v>16.7</v>
      </c>
      <c r="Z64" s="11">
        <v>1.252</v>
      </c>
      <c r="AA64" s="11">
        <v>9.5000000000000001E-2</v>
      </c>
      <c r="AB64" s="11">
        <v>82.1</v>
      </c>
      <c r="AC64" s="11">
        <v>1.2509999999999999</v>
      </c>
      <c r="AD64" s="11">
        <v>1.2509999999999999</v>
      </c>
      <c r="AE64" s="11">
        <v>1.3859999999999999</v>
      </c>
    </row>
    <row r="65" spans="1:31" s="11" customFormat="1" ht="12.75">
      <c r="A65" s="10"/>
      <c r="B65" s="33"/>
      <c r="C65" s="37"/>
      <c r="D65" s="15"/>
      <c r="E65" s="37"/>
      <c r="F65" s="16"/>
      <c r="G65" s="12"/>
      <c r="I65" s="14"/>
      <c r="J65" s="45"/>
      <c r="K65" s="52"/>
      <c r="L65" s="11" t="s">
        <v>243</v>
      </c>
      <c r="M65" s="11" t="s">
        <v>130</v>
      </c>
      <c r="N65" s="11">
        <v>0.99299999999999999</v>
      </c>
      <c r="O65" s="11">
        <v>0.21</v>
      </c>
      <c r="P65" s="11">
        <v>66.42</v>
      </c>
      <c r="Q65" s="17">
        <v>0</v>
      </c>
      <c r="R65" s="11" t="s">
        <v>244</v>
      </c>
      <c r="S65" s="11" t="s">
        <v>245</v>
      </c>
      <c r="T65" s="67">
        <v>1.792</v>
      </c>
      <c r="U65" s="11">
        <v>7.0999999999999994E-2</v>
      </c>
      <c r="V65" s="11">
        <v>119407</v>
      </c>
      <c r="X65" s="11">
        <v>93</v>
      </c>
      <c r="Y65" s="11">
        <v>3.9</v>
      </c>
      <c r="Z65" s="11">
        <v>1.718</v>
      </c>
      <c r="AA65" s="11">
        <v>6.3E-2</v>
      </c>
      <c r="AB65" s="11">
        <v>68.2</v>
      </c>
      <c r="AC65" s="11">
        <v>1.923</v>
      </c>
      <c r="AD65" s="11">
        <v>1.77</v>
      </c>
      <c r="AE65" s="11">
        <v>1.843</v>
      </c>
    </row>
    <row r="66" spans="1:31" s="11" customFormat="1">
      <c r="A66" s="10" t="s">
        <v>36</v>
      </c>
      <c r="B66" s="33" t="s">
        <v>246</v>
      </c>
      <c r="C66" s="37" t="s">
        <v>246</v>
      </c>
      <c r="D66" s="15" t="s">
        <v>221</v>
      </c>
      <c r="E66" s="37" t="s">
        <v>246</v>
      </c>
      <c r="F66" s="16" t="s">
        <v>222</v>
      </c>
      <c r="G66" s="12"/>
      <c r="H66" s="11" t="s">
        <v>226</v>
      </c>
      <c r="I66" s="14"/>
      <c r="J66" s="45"/>
      <c r="K66" s="52" t="s">
        <v>240</v>
      </c>
      <c r="L66" s="11" t="s">
        <v>247</v>
      </c>
      <c r="M66" s="11" t="s">
        <v>130</v>
      </c>
      <c r="N66" s="11">
        <v>0.80600000000000005</v>
      </c>
      <c r="O66" s="11">
        <v>0.21</v>
      </c>
      <c r="P66" s="11">
        <v>20.55</v>
      </c>
      <c r="Q66" s="17">
        <v>1279</v>
      </c>
      <c r="R66" s="11" t="s">
        <v>63</v>
      </c>
      <c r="S66" s="11" t="s">
        <v>248</v>
      </c>
      <c r="T66" s="67">
        <v>1.4119999999999999</v>
      </c>
      <c r="U66" s="11">
        <v>9.8000000000000004E-2</v>
      </c>
      <c r="V66" s="11">
        <v>41053</v>
      </c>
      <c r="X66" s="11">
        <v>93.8</v>
      </c>
      <c r="Y66" s="11">
        <v>5.7</v>
      </c>
      <c r="Z66" s="11">
        <v>1.224</v>
      </c>
      <c r="AA66" s="11">
        <v>0.106</v>
      </c>
      <c r="AB66" s="11">
        <v>66.400000000000006</v>
      </c>
      <c r="AC66" s="11">
        <v>1.3660000000000001</v>
      </c>
      <c r="AD66" s="11">
        <v>1.3660000000000001</v>
      </c>
      <c r="AE66" s="11">
        <v>1.3149999999999999</v>
      </c>
    </row>
    <row r="67" spans="1:31">
      <c r="A67" s="2" t="s">
        <v>36</v>
      </c>
      <c r="B67" s="32" t="s">
        <v>249</v>
      </c>
      <c r="C67" s="36" t="s">
        <v>249</v>
      </c>
      <c r="D67" s="6" t="s">
        <v>221</v>
      </c>
      <c r="E67" s="36" t="s">
        <v>249</v>
      </c>
      <c r="F67" s="7" t="s">
        <v>222</v>
      </c>
      <c r="G67" s="3"/>
      <c r="H67" s="1" t="s">
        <v>226</v>
      </c>
      <c r="I67" s="4"/>
      <c r="J67" s="42"/>
      <c r="K67" s="53" t="s">
        <v>240</v>
      </c>
      <c r="L67" s="1" t="s">
        <v>144</v>
      </c>
      <c r="Q67" s="5"/>
    </row>
    <row r="68" spans="1:31">
      <c r="A68" s="2" t="s">
        <v>36</v>
      </c>
      <c r="B68" s="32" t="s">
        <v>250</v>
      </c>
      <c r="C68" s="36" t="s">
        <v>250</v>
      </c>
      <c r="D68" s="6" t="s">
        <v>221</v>
      </c>
      <c r="E68" s="36" t="s">
        <v>250</v>
      </c>
      <c r="F68" s="7" t="s">
        <v>222</v>
      </c>
      <c r="G68" s="3"/>
      <c r="H68" s="1" t="s">
        <v>226</v>
      </c>
      <c r="I68" s="4"/>
      <c r="J68" s="42"/>
      <c r="K68" s="53" t="s">
        <v>240</v>
      </c>
      <c r="L68" s="1" t="s">
        <v>251</v>
      </c>
      <c r="Q68" s="5"/>
    </row>
    <row r="69" spans="1:31">
      <c r="A69" s="2" t="s">
        <v>36</v>
      </c>
      <c r="B69" s="32" t="s">
        <v>252</v>
      </c>
      <c r="C69" s="36" t="s">
        <v>252</v>
      </c>
      <c r="D69" s="6" t="s">
        <v>221</v>
      </c>
      <c r="E69" s="36" t="s">
        <v>252</v>
      </c>
      <c r="F69" s="7" t="s">
        <v>222</v>
      </c>
      <c r="G69" s="3"/>
      <c r="H69" s="1" t="s">
        <v>253</v>
      </c>
      <c r="I69" s="4"/>
      <c r="J69" s="42"/>
      <c r="K69" s="53" t="s">
        <v>183</v>
      </c>
      <c r="L69" s="1" t="s">
        <v>254</v>
      </c>
      <c r="Q69" s="5"/>
    </row>
    <row r="70" spans="1:31">
      <c r="A70" s="2" t="s">
        <v>36</v>
      </c>
      <c r="B70" s="32" t="s">
        <v>255</v>
      </c>
      <c r="C70" s="36" t="s">
        <v>255</v>
      </c>
      <c r="D70" s="6" t="s">
        <v>221</v>
      </c>
      <c r="E70" s="36" t="s">
        <v>255</v>
      </c>
      <c r="F70" s="7" t="s">
        <v>256</v>
      </c>
      <c r="G70" s="3"/>
      <c r="H70" s="1" t="s">
        <v>257</v>
      </c>
      <c r="I70" s="4"/>
      <c r="J70" s="42"/>
      <c r="K70" s="53" t="s">
        <v>240</v>
      </c>
      <c r="L70" s="1" t="s">
        <v>254</v>
      </c>
      <c r="Q70" s="5"/>
    </row>
    <row r="71" spans="1:31">
      <c r="A71" s="2" t="s">
        <v>36</v>
      </c>
      <c r="B71" s="32" t="s">
        <v>258</v>
      </c>
      <c r="C71" s="36" t="s">
        <v>258</v>
      </c>
      <c r="D71" s="1" t="s">
        <v>221</v>
      </c>
      <c r="E71" s="36" t="s">
        <v>258</v>
      </c>
      <c r="F71" s="1" t="s">
        <v>259</v>
      </c>
      <c r="G71" s="3"/>
      <c r="H71" s="1" t="s">
        <v>260</v>
      </c>
      <c r="I71" s="3"/>
      <c r="J71" s="43"/>
      <c r="K71" s="53" t="s">
        <v>240</v>
      </c>
      <c r="L71" s="1" t="s">
        <v>254</v>
      </c>
      <c r="Q71" s="5"/>
    </row>
    <row r="72" spans="1:31" s="11" customFormat="1">
      <c r="A72" s="10" t="s">
        <v>36</v>
      </c>
      <c r="B72" s="33" t="s">
        <v>261</v>
      </c>
      <c r="C72" s="37" t="s">
        <v>261</v>
      </c>
      <c r="D72" s="15" t="s">
        <v>221</v>
      </c>
      <c r="E72" s="37" t="s">
        <v>261</v>
      </c>
      <c r="F72" s="16" t="s">
        <v>262</v>
      </c>
      <c r="G72" s="12"/>
      <c r="H72" s="11" t="s">
        <v>263</v>
      </c>
      <c r="I72" s="12"/>
      <c r="J72" s="44"/>
      <c r="K72" s="52" t="s">
        <v>240</v>
      </c>
      <c r="L72" s="11" t="s">
        <v>264</v>
      </c>
      <c r="M72" s="11" t="s">
        <v>130</v>
      </c>
      <c r="N72" s="11">
        <v>0.55200000000000005</v>
      </c>
      <c r="O72" s="11">
        <v>0.23</v>
      </c>
      <c r="P72" s="11">
        <v>15.65</v>
      </c>
      <c r="Q72" s="17">
        <v>492</v>
      </c>
      <c r="R72" s="11" t="s">
        <v>63</v>
      </c>
      <c r="S72" s="11" t="s">
        <v>265</v>
      </c>
      <c r="T72" s="67">
        <v>1.681</v>
      </c>
      <c r="U72" s="11">
        <v>0.17199999999999999</v>
      </c>
      <c r="V72" s="11">
        <v>25590</v>
      </c>
      <c r="X72" s="11">
        <v>95.7</v>
      </c>
      <c r="Y72" s="11">
        <v>14.3</v>
      </c>
      <c r="Z72" s="11">
        <v>1.6160000000000001</v>
      </c>
      <c r="AA72" s="11">
        <v>0.17199999999999999</v>
      </c>
      <c r="AB72" s="11">
        <v>84.9</v>
      </c>
      <c r="AC72" s="11">
        <v>1.633</v>
      </c>
      <c r="AD72" s="11">
        <v>1.633</v>
      </c>
      <c r="AE72" s="11">
        <v>1.6870000000000001</v>
      </c>
    </row>
    <row r="73" spans="1:31">
      <c r="A73" s="2" t="s">
        <v>36</v>
      </c>
      <c r="B73" s="32" t="s">
        <v>266</v>
      </c>
      <c r="C73" s="36" t="s">
        <v>266</v>
      </c>
      <c r="D73" s="6" t="s">
        <v>221</v>
      </c>
      <c r="E73" s="36" t="s">
        <v>266</v>
      </c>
      <c r="F73" s="7" t="s">
        <v>262</v>
      </c>
      <c r="G73" s="3"/>
      <c r="H73" s="1" t="s">
        <v>263</v>
      </c>
      <c r="I73" s="3"/>
      <c r="J73" s="43"/>
      <c r="K73" s="53" t="s">
        <v>240</v>
      </c>
      <c r="L73" s="1" t="s">
        <v>267</v>
      </c>
      <c r="Q73" s="5"/>
    </row>
    <row r="74" spans="1:31">
      <c r="A74" s="2" t="s">
        <v>36</v>
      </c>
      <c r="B74" s="32" t="s">
        <v>268</v>
      </c>
      <c r="C74" s="36" t="s">
        <v>268</v>
      </c>
      <c r="D74" s="1" t="s">
        <v>221</v>
      </c>
      <c r="E74" s="36" t="s">
        <v>268</v>
      </c>
      <c r="F74" s="1" t="s">
        <v>269</v>
      </c>
      <c r="G74" s="3"/>
      <c r="H74" s="1" t="s">
        <v>270</v>
      </c>
      <c r="I74" s="3"/>
      <c r="J74" s="43"/>
      <c r="K74" s="49" t="s">
        <v>240</v>
      </c>
      <c r="L74" s="1" t="s">
        <v>271</v>
      </c>
      <c r="Q74" s="5"/>
    </row>
    <row r="75" spans="1:31">
      <c r="A75" s="2" t="s">
        <v>36</v>
      </c>
      <c r="B75" s="32" t="s">
        <v>272</v>
      </c>
      <c r="C75" s="36" t="s">
        <v>272</v>
      </c>
      <c r="D75" s="1" t="s">
        <v>221</v>
      </c>
      <c r="E75" s="36" t="s">
        <v>272</v>
      </c>
      <c r="F75" s="1" t="s">
        <v>269</v>
      </c>
      <c r="G75" s="3"/>
      <c r="H75" s="1" t="s">
        <v>270</v>
      </c>
      <c r="I75" s="3"/>
      <c r="J75" s="43"/>
      <c r="K75" s="49" t="s">
        <v>240</v>
      </c>
      <c r="L75" s="1" t="s">
        <v>271</v>
      </c>
      <c r="Q75" s="5"/>
    </row>
    <row r="76" spans="1:31">
      <c r="A76" s="2" t="s">
        <v>36</v>
      </c>
      <c r="B76" s="32" t="s">
        <v>273</v>
      </c>
      <c r="C76" s="36" t="s">
        <v>273</v>
      </c>
      <c r="D76" s="1" t="s">
        <v>221</v>
      </c>
      <c r="E76" s="36" t="s">
        <v>273</v>
      </c>
      <c r="F76" s="1" t="s">
        <v>269</v>
      </c>
      <c r="G76" s="3"/>
      <c r="H76" s="1" t="s">
        <v>270</v>
      </c>
      <c r="I76" s="3"/>
      <c r="J76" s="43"/>
      <c r="K76" s="49" t="s">
        <v>240</v>
      </c>
      <c r="L76" s="1" t="s">
        <v>271</v>
      </c>
      <c r="Q76" s="5"/>
    </row>
    <row r="77" spans="1:31">
      <c r="A77" s="2" t="s">
        <v>36</v>
      </c>
      <c r="B77" s="32" t="s">
        <v>274</v>
      </c>
      <c r="C77" s="36" t="s">
        <v>274</v>
      </c>
      <c r="D77" s="1" t="s">
        <v>221</v>
      </c>
      <c r="E77" s="36" t="s">
        <v>274</v>
      </c>
      <c r="F77" s="1" t="s">
        <v>275</v>
      </c>
      <c r="G77" s="3"/>
      <c r="H77" s="1" t="s">
        <v>276</v>
      </c>
      <c r="I77" s="3"/>
      <c r="J77" s="43"/>
      <c r="K77" s="49" t="s">
        <v>240</v>
      </c>
      <c r="L77" s="1" t="s">
        <v>277</v>
      </c>
      <c r="Q77" s="5"/>
    </row>
    <row r="78" spans="1:31">
      <c r="A78" s="2" t="s">
        <v>36</v>
      </c>
      <c r="B78" s="32" t="s">
        <v>278</v>
      </c>
      <c r="C78" s="36" t="s">
        <v>278</v>
      </c>
      <c r="D78" s="1" t="s">
        <v>221</v>
      </c>
      <c r="E78" s="36" t="s">
        <v>278</v>
      </c>
      <c r="F78" s="1" t="s">
        <v>275</v>
      </c>
      <c r="G78" s="3"/>
      <c r="H78" s="1" t="s">
        <v>276</v>
      </c>
      <c r="I78" s="3"/>
      <c r="J78" s="43"/>
      <c r="K78" s="49" t="s">
        <v>240</v>
      </c>
      <c r="L78" s="1" t="s">
        <v>279</v>
      </c>
      <c r="Q78" s="5"/>
    </row>
    <row r="79" spans="1:31">
      <c r="A79" s="2" t="s">
        <v>36</v>
      </c>
      <c r="B79" s="32" t="s">
        <v>280</v>
      </c>
      <c r="C79" s="36" t="s">
        <v>280</v>
      </c>
      <c r="D79" s="1" t="s">
        <v>281</v>
      </c>
      <c r="E79" s="36" t="s">
        <v>280</v>
      </c>
      <c r="F79" s="1" t="s">
        <v>222</v>
      </c>
      <c r="G79" s="3"/>
      <c r="H79" s="1" t="s">
        <v>282</v>
      </c>
      <c r="I79" s="3"/>
      <c r="J79" s="43"/>
      <c r="K79" s="49" t="s">
        <v>240</v>
      </c>
      <c r="L79" s="1" t="s">
        <v>254</v>
      </c>
      <c r="Q79" s="5"/>
    </row>
    <row r="80" spans="1:31">
      <c r="A80" s="2" t="s">
        <v>36</v>
      </c>
      <c r="B80" s="32" t="s">
        <v>283</v>
      </c>
      <c r="C80" s="36" t="s">
        <v>283</v>
      </c>
      <c r="D80" s="1" t="s">
        <v>221</v>
      </c>
      <c r="E80" s="36" t="s">
        <v>283</v>
      </c>
      <c r="F80" s="1" t="s">
        <v>284</v>
      </c>
      <c r="G80" s="3"/>
      <c r="H80" s="1" t="s">
        <v>263</v>
      </c>
      <c r="I80" s="3"/>
      <c r="J80" s="47"/>
      <c r="K80" s="49" t="s">
        <v>240</v>
      </c>
      <c r="L80" s="1" t="s">
        <v>285</v>
      </c>
      <c r="Q80" s="5"/>
    </row>
    <row r="81" spans="1:31">
      <c r="A81" s="2" t="s">
        <v>36</v>
      </c>
      <c r="B81" s="32" t="s">
        <v>286</v>
      </c>
      <c r="C81" s="36" t="s">
        <v>286</v>
      </c>
      <c r="D81" s="1" t="s">
        <v>221</v>
      </c>
      <c r="E81" s="36" t="s">
        <v>286</v>
      </c>
      <c r="F81" s="1" t="s">
        <v>284</v>
      </c>
      <c r="G81" s="3"/>
      <c r="H81" s="1" t="s">
        <v>263</v>
      </c>
      <c r="I81" s="3"/>
      <c r="J81" s="47"/>
      <c r="K81" s="49" t="s">
        <v>240</v>
      </c>
      <c r="L81" s="1" t="s">
        <v>287</v>
      </c>
      <c r="Q81" s="5"/>
    </row>
    <row r="82" spans="1:31" s="11" customFormat="1">
      <c r="A82" s="10" t="s">
        <v>36</v>
      </c>
      <c r="B82" s="33" t="s">
        <v>288</v>
      </c>
      <c r="C82" s="37" t="s">
        <v>288</v>
      </c>
      <c r="D82" s="11" t="s">
        <v>221</v>
      </c>
      <c r="E82" s="37" t="s">
        <v>288</v>
      </c>
      <c r="F82" s="11" t="s">
        <v>284</v>
      </c>
      <c r="G82" s="12"/>
      <c r="H82" s="11" t="s">
        <v>263</v>
      </c>
      <c r="I82" s="12"/>
      <c r="J82" s="44"/>
      <c r="K82" s="50" t="s">
        <v>240</v>
      </c>
      <c r="L82" s="11" t="s">
        <v>289</v>
      </c>
      <c r="M82" s="11" t="s">
        <v>130</v>
      </c>
      <c r="N82" s="11">
        <v>0.124</v>
      </c>
      <c r="O82" s="11">
        <v>0.33</v>
      </c>
      <c r="P82" s="11">
        <v>22.21</v>
      </c>
      <c r="Q82" s="17">
        <v>256</v>
      </c>
      <c r="R82" s="11" t="s">
        <v>63</v>
      </c>
      <c r="S82" s="11" t="s">
        <v>290</v>
      </c>
      <c r="T82" s="67">
        <v>1.72</v>
      </c>
      <c r="U82" s="11">
        <v>0.11899999999999999</v>
      </c>
      <c r="V82" s="11">
        <v>22407</v>
      </c>
      <c r="X82" s="11">
        <v>93.4</v>
      </c>
      <c r="Y82" s="11">
        <v>19.3</v>
      </c>
      <c r="Z82" s="11">
        <v>1.667</v>
      </c>
      <c r="AA82" s="11">
        <v>0.112</v>
      </c>
      <c r="AB82" s="11">
        <v>79.8</v>
      </c>
      <c r="AC82" s="11">
        <v>1.7629999999999999</v>
      </c>
      <c r="AD82" s="11">
        <v>1.7629999999999999</v>
      </c>
      <c r="AE82" s="11">
        <v>1.647</v>
      </c>
    </row>
    <row r="83" spans="1:31">
      <c r="A83" s="2" t="s">
        <v>36</v>
      </c>
      <c r="B83" s="32" t="s">
        <v>291</v>
      </c>
      <c r="C83" s="36" t="s">
        <v>291</v>
      </c>
      <c r="D83" s="1" t="s">
        <v>281</v>
      </c>
      <c r="E83" s="36" t="s">
        <v>291</v>
      </c>
      <c r="F83" s="1" t="s">
        <v>222</v>
      </c>
      <c r="G83" s="3"/>
      <c r="H83" s="1" t="s">
        <v>282</v>
      </c>
      <c r="I83" s="3"/>
      <c r="J83" s="43"/>
      <c r="K83" s="49" t="s">
        <v>240</v>
      </c>
      <c r="L83" s="1" t="s">
        <v>55</v>
      </c>
      <c r="Q83" s="5"/>
    </row>
    <row r="84" spans="1:31">
      <c r="A84" s="2" t="s">
        <v>36</v>
      </c>
      <c r="B84" s="32" t="s">
        <v>292</v>
      </c>
      <c r="C84" s="36" t="s">
        <v>292</v>
      </c>
      <c r="D84" s="1" t="s">
        <v>281</v>
      </c>
      <c r="E84" s="36" t="s">
        <v>292</v>
      </c>
      <c r="F84" s="1" t="s">
        <v>222</v>
      </c>
      <c r="G84" s="3"/>
      <c r="H84" s="1" t="s">
        <v>282</v>
      </c>
      <c r="I84" s="3"/>
      <c r="J84" s="43"/>
      <c r="K84" s="49" t="s">
        <v>240</v>
      </c>
      <c r="L84" s="1" t="s">
        <v>254</v>
      </c>
      <c r="Q84" s="5"/>
    </row>
    <row r="85" spans="1:31">
      <c r="A85" s="2" t="s">
        <v>36</v>
      </c>
      <c r="B85" s="32" t="s">
        <v>293</v>
      </c>
      <c r="C85" s="36" t="s">
        <v>293</v>
      </c>
      <c r="D85" s="1" t="s">
        <v>281</v>
      </c>
      <c r="E85" s="36" t="s">
        <v>293</v>
      </c>
      <c r="F85" s="1" t="s">
        <v>222</v>
      </c>
      <c r="G85" s="3"/>
      <c r="H85" s="1" t="s">
        <v>282</v>
      </c>
      <c r="I85" s="3"/>
      <c r="J85" s="43"/>
      <c r="K85" s="49" t="s">
        <v>240</v>
      </c>
      <c r="L85" s="1" t="s">
        <v>294</v>
      </c>
      <c r="Q85" s="5"/>
    </row>
    <row r="86" spans="1:31">
      <c r="A86" s="2" t="s">
        <v>36</v>
      </c>
      <c r="B86" s="32" t="s">
        <v>295</v>
      </c>
      <c r="C86" s="36" t="s">
        <v>295</v>
      </c>
      <c r="D86" s="1" t="s">
        <v>281</v>
      </c>
      <c r="E86" s="36" t="s">
        <v>295</v>
      </c>
      <c r="F86" s="1" t="s">
        <v>222</v>
      </c>
      <c r="G86" s="3"/>
      <c r="H86" s="1" t="s">
        <v>282</v>
      </c>
      <c r="I86" s="3"/>
      <c r="J86" s="43"/>
      <c r="K86" s="49" t="s">
        <v>240</v>
      </c>
      <c r="L86" s="1" t="s">
        <v>294</v>
      </c>
      <c r="Q86" s="5"/>
    </row>
    <row r="87" spans="1:31">
      <c r="A87" s="2" t="s">
        <v>36</v>
      </c>
      <c r="B87" s="32" t="s">
        <v>296</v>
      </c>
      <c r="C87" s="36" t="s">
        <v>296</v>
      </c>
      <c r="D87" s="1" t="s">
        <v>281</v>
      </c>
      <c r="E87" s="36" t="s">
        <v>296</v>
      </c>
      <c r="F87" s="1" t="s">
        <v>222</v>
      </c>
      <c r="G87" s="3"/>
      <c r="H87" s="1" t="s">
        <v>282</v>
      </c>
      <c r="I87" s="3"/>
      <c r="J87" s="43"/>
      <c r="K87" s="49" t="s">
        <v>240</v>
      </c>
      <c r="L87" s="1" t="s">
        <v>297</v>
      </c>
      <c r="Q87" s="5"/>
    </row>
    <row r="88" spans="1:31">
      <c r="A88" s="2" t="s">
        <v>36</v>
      </c>
      <c r="B88" s="32" t="s">
        <v>298</v>
      </c>
      <c r="C88" s="36" t="s">
        <v>298</v>
      </c>
      <c r="D88" s="1" t="s">
        <v>281</v>
      </c>
      <c r="E88" s="36" t="s">
        <v>298</v>
      </c>
      <c r="F88" s="1" t="s">
        <v>222</v>
      </c>
      <c r="G88" s="3"/>
      <c r="H88" s="1" t="s">
        <v>282</v>
      </c>
      <c r="I88" s="3"/>
      <c r="J88" s="43"/>
      <c r="K88" s="49" t="s">
        <v>240</v>
      </c>
      <c r="L88" s="1" t="s">
        <v>299</v>
      </c>
      <c r="Q88" s="5"/>
    </row>
    <row r="89" spans="1:31">
      <c r="A89" s="2" t="s">
        <v>36</v>
      </c>
      <c r="B89" s="32" t="s">
        <v>300</v>
      </c>
      <c r="C89" s="36" t="s">
        <v>300</v>
      </c>
      <c r="D89" s="1" t="s">
        <v>281</v>
      </c>
      <c r="E89" s="36" t="s">
        <v>300</v>
      </c>
      <c r="F89" s="1" t="s">
        <v>222</v>
      </c>
      <c r="G89" s="3"/>
      <c r="H89" s="1" t="s">
        <v>282</v>
      </c>
      <c r="I89" s="3"/>
      <c r="J89" s="43"/>
      <c r="K89" s="49" t="s">
        <v>240</v>
      </c>
      <c r="L89" s="1" t="s">
        <v>301</v>
      </c>
      <c r="Q89" s="5"/>
    </row>
    <row r="90" spans="1:31">
      <c r="A90" s="2" t="s">
        <v>36</v>
      </c>
      <c r="B90" s="32" t="s">
        <v>302</v>
      </c>
      <c r="C90" s="36" t="s">
        <v>302</v>
      </c>
      <c r="D90" s="1" t="s">
        <v>281</v>
      </c>
      <c r="E90" s="36" t="s">
        <v>302</v>
      </c>
      <c r="F90" s="1" t="s">
        <v>222</v>
      </c>
      <c r="G90" s="3"/>
      <c r="H90" s="1" t="s">
        <v>282</v>
      </c>
      <c r="I90" s="3"/>
      <c r="J90" s="43"/>
      <c r="K90" s="49" t="s">
        <v>240</v>
      </c>
      <c r="L90" s="1" t="s">
        <v>303</v>
      </c>
      <c r="Q90" s="5"/>
    </row>
    <row r="91" spans="1:31" s="11" customFormat="1">
      <c r="A91" s="10" t="s">
        <v>36</v>
      </c>
      <c r="B91" s="33" t="s">
        <v>304</v>
      </c>
      <c r="C91" s="37" t="s">
        <v>304</v>
      </c>
      <c r="D91" s="11" t="s">
        <v>93</v>
      </c>
      <c r="E91" s="37" t="s">
        <v>304</v>
      </c>
      <c r="F91" s="11" t="s">
        <v>305</v>
      </c>
      <c r="G91" s="12"/>
      <c r="H91" s="11" t="s">
        <v>306</v>
      </c>
      <c r="I91" s="12"/>
      <c r="J91" s="44"/>
      <c r="K91" s="50" t="s">
        <v>240</v>
      </c>
      <c r="L91" s="11" t="s">
        <v>307</v>
      </c>
      <c r="M91" s="11" t="s">
        <v>130</v>
      </c>
      <c r="N91" s="11">
        <v>0.66400000000000003</v>
      </c>
      <c r="O91" s="11">
        <v>0.21</v>
      </c>
      <c r="P91" s="11">
        <v>19.7</v>
      </c>
      <c r="Q91" s="17">
        <v>453</v>
      </c>
      <c r="R91" s="11" t="s">
        <v>63</v>
      </c>
      <c r="S91" s="11" t="s">
        <v>308</v>
      </c>
      <c r="T91" s="67">
        <v>1.5069999999999999</v>
      </c>
      <c r="U91" s="11">
        <v>7.8E-2</v>
      </c>
      <c r="V91" s="11">
        <v>34067</v>
      </c>
      <c r="X91" s="11">
        <v>92.5</v>
      </c>
      <c r="Y91" s="11">
        <v>12.9</v>
      </c>
      <c r="Z91" s="11">
        <v>1.452</v>
      </c>
      <c r="AA91" s="11">
        <v>7.6999999999999999E-2</v>
      </c>
      <c r="AB91" s="11">
        <v>80.2</v>
      </c>
      <c r="AC91" s="11">
        <v>1.4650000000000001</v>
      </c>
      <c r="AD91" s="11">
        <v>1.4650000000000001</v>
      </c>
      <c r="AE91" s="11">
        <v>1.57</v>
      </c>
    </row>
    <row r="92" spans="1:31">
      <c r="A92" s="2" t="s">
        <v>36</v>
      </c>
      <c r="B92" s="32" t="s">
        <v>309</v>
      </c>
      <c r="C92" s="36" t="s">
        <v>309</v>
      </c>
      <c r="D92" s="1" t="s">
        <v>310</v>
      </c>
      <c r="E92" s="36" t="s">
        <v>309</v>
      </c>
      <c r="F92" s="1" t="s">
        <v>311</v>
      </c>
      <c r="G92" s="3"/>
      <c r="H92" s="1" t="s">
        <v>312</v>
      </c>
      <c r="I92" s="3"/>
      <c r="J92" s="43"/>
      <c r="K92" s="49" t="s">
        <v>240</v>
      </c>
      <c r="L92" s="1" t="s">
        <v>55</v>
      </c>
      <c r="Q92" s="5"/>
    </row>
    <row r="93" spans="1:31">
      <c r="A93" s="2" t="s">
        <v>36</v>
      </c>
      <c r="B93" s="32" t="s">
        <v>313</v>
      </c>
      <c r="C93" s="36" t="s">
        <v>313</v>
      </c>
      <c r="D93" s="1" t="s">
        <v>310</v>
      </c>
      <c r="E93" s="36" t="s">
        <v>313</v>
      </c>
      <c r="F93" s="1" t="s">
        <v>311</v>
      </c>
      <c r="G93" s="3"/>
      <c r="H93" s="1" t="s">
        <v>312</v>
      </c>
      <c r="I93" s="3"/>
      <c r="J93" s="43"/>
      <c r="K93" s="49" t="s">
        <v>240</v>
      </c>
      <c r="L93" s="1" t="s">
        <v>55</v>
      </c>
      <c r="Q93" s="5"/>
    </row>
    <row r="94" spans="1:31">
      <c r="A94" s="2" t="s">
        <v>36</v>
      </c>
      <c r="B94" s="32" t="s">
        <v>314</v>
      </c>
      <c r="C94" s="36" t="s">
        <v>314</v>
      </c>
      <c r="D94" s="1" t="s">
        <v>310</v>
      </c>
      <c r="E94" s="36" t="s">
        <v>314</v>
      </c>
      <c r="F94" s="1" t="s">
        <v>311</v>
      </c>
      <c r="G94" s="3"/>
      <c r="H94" s="1" t="s">
        <v>312</v>
      </c>
      <c r="I94" s="3"/>
      <c r="J94" s="43"/>
      <c r="K94" s="49" t="s">
        <v>240</v>
      </c>
      <c r="L94" s="1" t="s">
        <v>315</v>
      </c>
      <c r="Q94" s="5"/>
    </row>
    <row r="95" spans="1:31">
      <c r="A95" s="2" t="s">
        <v>36</v>
      </c>
      <c r="B95" s="32" t="s">
        <v>316</v>
      </c>
      <c r="C95" s="36" t="s">
        <v>316</v>
      </c>
      <c r="D95" s="1" t="s">
        <v>310</v>
      </c>
      <c r="E95" s="36" t="s">
        <v>316</v>
      </c>
      <c r="F95" s="1" t="s">
        <v>311</v>
      </c>
      <c r="G95" s="3"/>
      <c r="H95" s="1" t="s">
        <v>312</v>
      </c>
      <c r="I95" s="3"/>
      <c r="J95" s="43"/>
      <c r="K95" s="49" t="s">
        <v>240</v>
      </c>
      <c r="L95" s="1" t="s">
        <v>315</v>
      </c>
      <c r="Q95" s="5"/>
    </row>
    <row r="96" spans="1:31">
      <c r="A96" s="2" t="s">
        <v>36</v>
      </c>
      <c r="B96" s="32" t="s">
        <v>317</v>
      </c>
      <c r="C96" s="36" t="s">
        <v>317</v>
      </c>
      <c r="D96" s="1" t="s">
        <v>310</v>
      </c>
      <c r="E96" s="36" t="s">
        <v>317</v>
      </c>
      <c r="F96" s="1" t="s">
        <v>311</v>
      </c>
      <c r="G96" s="3"/>
      <c r="H96" s="1" t="s">
        <v>312</v>
      </c>
      <c r="I96" s="3"/>
      <c r="J96" s="43"/>
      <c r="K96" s="49" t="s">
        <v>240</v>
      </c>
      <c r="L96" s="1" t="s">
        <v>315</v>
      </c>
      <c r="Q96" s="5"/>
    </row>
    <row r="97" spans="1:20">
      <c r="A97" s="2" t="s">
        <v>36</v>
      </c>
      <c r="B97" s="32" t="s">
        <v>318</v>
      </c>
      <c r="C97" s="36" t="s">
        <v>318</v>
      </c>
      <c r="D97" s="1" t="s">
        <v>310</v>
      </c>
      <c r="E97" s="36" t="s">
        <v>318</v>
      </c>
      <c r="F97" s="1" t="s">
        <v>311</v>
      </c>
      <c r="G97" s="3"/>
      <c r="H97" s="1" t="s">
        <v>312</v>
      </c>
      <c r="I97" s="3"/>
      <c r="J97" s="43"/>
      <c r="K97" s="49" t="s">
        <v>240</v>
      </c>
      <c r="L97" s="1" t="s">
        <v>315</v>
      </c>
      <c r="Q97" s="5"/>
    </row>
    <row r="98" spans="1:20">
      <c r="A98" s="2" t="s">
        <v>36</v>
      </c>
      <c r="B98" s="32" t="s">
        <v>319</v>
      </c>
      <c r="C98" s="36" t="s">
        <v>319</v>
      </c>
      <c r="D98" s="1" t="s">
        <v>281</v>
      </c>
      <c r="E98" s="36" t="s">
        <v>319</v>
      </c>
      <c r="F98" s="1" t="s">
        <v>284</v>
      </c>
      <c r="G98" s="3"/>
      <c r="H98" s="1" t="s">
        <v>282</v>
      </c>
      <c r="I98" s="3"/>
      <c r="J98" s="43"/>
      <c r="K98" s="49" t="s">
        <v>240</v>
      </c>
      <c r="L98" s="1" t="s">
        <v>315</v>
      </c>
      <c r="Q98" s="5"/>
    </row>
    <row r="99" spans="1:20">
      <c r="A99" s="2" t="s">
        <v>36</v>
      </c>
      <c r="B99" s="32" t="s">
        <v>320</v>
      </c>
      <c r="C99" s="36" t="s">
        <v>320</v>
      </c>
      <c r="D99" s="1" t="s">
        <v>281</v>
      </c>
      <c r="E99" s="36" t="s">
        <v>320</v>
      </c>
      <c r="F99" s="1" t="s">
        <v>284</v>
      </c>
      <c r="G99" s="3"/>
      <c r="H99" s="1" t="s">
        <v>282</v>
      </c>
      <c r="I99" s="3"/>
      <c r="J99" s="43"/>
      <c r="K99" s="49" t="s">
        <v>240</v>
      </c>
      <c r="L99" s="1" t="s">
        <v>301</v>
      </c>
      <c r="Q99" s="5"/>
    </row>
    <row r="100" spans="1:20">
      <c r="A100" s="2" t="s">
        <v>36</v>
      </c>
      <c r="B100" s="32" t="s">
        <v>321</v>
      </c>
      <c r="C100" s="36" t="s">
        <v>321</v>
      </c>
      <c r="D100" s="1" t="s">
        <v>281</v>
      </c>
      <c r="E100" s="36" t="s">
        <v>321</v>
      </c>
      <c r="F100" s="1" t="s">
        <v>284</v>
      </c>
      <c r="G100" s="3"/>
      <c r="H100" s="1" t="s">
        <v>282</v>
      </c>
      <c r="I100" s="3"/>
      <c r="J100" s="43"/>
      <c r="K100" s="49" t="s">
        <v>240</v>
      </c>
      <c r="L100" s="1" t="s">
        <v>315</v>
      </c>
      <c r="Q100" s="5"/>
    </row>
    <row r="101" spans="1:20">
      <c r="A101" s="2" t="s">
        <v>36</v>
      </c>
      <c r="B101" s="32" t="s">
        <v>322</v>
      </c>
      <c r="C101" s="36" t="s">
        <v>322</v>
      </c>
      <c r="D101" s="1" t="s">
        <v>323</v>
      </c>
      <c r="E101" s="36" t="s">
        <v>322</v>
      </c>
      <c r="F101" s="1" t="s">
        <v>324</v>
      </c>
      <c r="G101" s="3"/>
      <c r="H101" s="1" t="s">
        <v>325</v>
      </c>
      <c r="I101" s="4"/>
      <c r="J101" s="42"/>
      <c r="K101" s="49" t="s">
        <v>326</v>
      </c>
      <c r="L101" s="1" t="s">
        <v>99</v>
      </c>
      <c r="Q101" s="5"/>
    </row>
    <row r="102" spans="1:20" s="26" customFormat="1">
      <c r="A102" s="25" t="s">
        <v>36</v>
      </c>
      <c r="B102" s="35" t="s">
        <v>327</v>
      </c>
      <c r="C102" s="39" t="s">
        <v>327</v>
      </c>
      <c r="D102" s="26" t="s">
        <v>323</v>
      </c>
      <c r="E102" s="39" t="s">
        <v>327</v>
      </c>
      <c r="F102" s="26" t="s">
        <v>324</v>
      </c>
      <c r="G102" s="27"/>
      <c r="H102" s="26" t="s">
        <v>325</v>
      </c>
      <c r="I102" s="28"/>
      <c r="J102" s="48"/>
      <c r="K102" s="55" t="s">
        <v>326</v>
      </c>
      <c r="L102" s="26" t="s">
        <v>99</v>
      </c>
      <c r="Q102" s="29"/>
      <c r="T102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Brigham Young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Pedroza Romo</dc:creator>
  <cp:keywords/>
  <dc:description/>
  <cp:lastModifiedBy>Elijah Walker Wilson</cp:lastModifiedBy>
  <cp:revision/>
  <dcterms:created xsi:type="dcterms:W3CDTF">2024-06-11T18:05:51Z</dcterms:created>
  <dcterms:modified xsi:type="dcterms:W3CDTF">2025-10-13T19:31:53Z</dcterms:modified>
  <cp:category/>
  <cp:contentStatus/>
</cp:coreProperties>
</file>