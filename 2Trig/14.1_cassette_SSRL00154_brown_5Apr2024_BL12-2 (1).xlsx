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2637" documentId="11_624C6B7C15710B0CE692A48040B923B126323FDB" xr6:coauthVersionLast="47" xr6:coauthVersionMax="47" xr10:uidLastSave="{C4AB0029-7407-42AA-87F9-A3013F86DA42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U9tcUi+oLpiwcn9/yz3Y51Kf3mDp2LkofEDLINIiys="/>
    </ext>
  </extLst>
</workbook>
</file>

<file path=xl/calcChain.xml><?xml version="1.0" encoding="utf-8"?>
<calcChain xmlns="http://schemas.openxmlformats.org/spreadsheetml/2006/main">
  <c r="N64" i="1" l="1"/>
  <c r="N17" i="1"/>
  <c r="N63" i="1"/>
  <c r="N62" i="1"/>
  <c r="N61" i="1"/>
  <c r="N57" i="1"/>
  <c r="N56" i="1"/>
  <c r="N54" i="1"/>
  <c r="N53" i="1"/>
  <c r="N52" i="1"/>
  <c r="N49" i="1"/>
  <c r="N47" i="1"/>
  <c r="N46" i="1"/>
  <c r="N45" i="1"/>
  <c r="N28" i="1"/>
  <c r="N18" i="1"/>
  <c r="N10" i="1"/>
  <c r="N51" i="1"/>
  <c r="N44" i="1"/>
  <c r="N58" i="1"/>
  <c r="N55" i="1"/>
  <c r="N27" i="1"/>
  <c r="N12" i="1"/>
</calcChain>
</file>

<file path=xl/sharedStrings.xml><?xml version="1.0" encoding="utf-8"?>
<sst xmlns="http://schemas.openxmlformats.org/spreadsheetml/2006/main" count="1382" uniqueCount="428">
  <si>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</si>
  <si>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</si>
  <si>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</si>
  <si>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</si>
  <si>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</si>
  <si>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</si>
  <si>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</si>
  <si>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</si>
  <si>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</si>
  <si>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</si>
  <si>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</si>
  <si>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Diffraction results</t>
  </si>
  <si>
    <t>spot shape</t>
  </si>
  <si>
    <t>fraction indexed</t>
  </si>
  <si>
    <t>Mosaicity</t>
  </si>
  <si>
    <t>final ISa</t>
  </si>
  <si>
    <t>Frames to remove</t>
  </si>
  <si>
    <t>space group</t>
  </si>
  <si>
    <t>unit cell</t>
  </si>
  <si>
    <t>iso resolution</t>
  </si>
  <si>
    <t>iso rmeas</t>
  </si>
  <si>
    <t>iso num uniq reflections</t>
  </si>
  <si>
    <t>iso overall completeness %</t>
  </si>
  <si>
    <t>iso overall redundancy</t>
  </si>
  <si>
    <t>LLG</t>
  </si>
  <si>
    <t>TFZ</t>
  </si>
  <si>
    <t>fit to dens</t>
  </si>
  <si>
    <t>aniso resolution</t>
  </si>
  <si>
    <t>aniso rmeas</t>
  </si>
  <si>
    <t>aniso completeness (spherical)</t>
  </si>
  <si>
    <t>aniso elipsoid A</t>
  </si>
  <si>
    <t>aniso elipsoid B</t>
  </si>
  <si>
    <t>aniso elipsoid C</t>
  </si>
  <si>
    <t>SSRL00154</t>
  </si>
  <si>
    <t>A1</t>
  </si>
  <si>
    <t>empty</t>
  </si>
  <si>
    <t>A2</t>
  </si>
  <si>
    <t>A3</t>
  </si>
  <si>
    <t>A4</t>
  </si>
  <si>
    <t>A5</t>
  </si>
  <si>
    <t>A6</t>
  </si>
  <si>
    <t>HIS-1TEL-vWA 2/7/2024 - MDHB (14)</t>
  </si>
  <si>
    <t>Rod, 0.3 loop</t>
  </si>
  <si>
    <t>INDEX C4 Condition, C4 Well</t>
  </si>
  <si>
    <t>Prasadika</t>
  </si>
  <si>
    <t>no diffraction</t>
  </si>
  <si>
    <t>A7</t>
  </si>
  <si>
    <t>HIS-1TEL-vWA 2/7/2024 - PG</t>
  </si>
  <si>
    <t>PLATES,0.3</t>
  </si>
  <si>
    <t>C3,INDEX C4 Condition,</t>
  </si>
  <si>
    <t>right end, 2.3 A vis, 1.85 A xds</t>
  </si>
  <si>
    <t>okay</t>
  </si>
  <si>
    <t>none</t>
  </si>
  <si>
    <t>P61</t>
  </si>
  <si>
    <t>101.129 101.129 49.491 90.0 90.0 120.0</t>
  </si>
  <si>
    <t>A7-2</t>
  </si>
  <si>
    <t>middle, 2.3 A vis, 1.69 A xds</t>
  </si>
  <si>
    <t>P63</t>
  </si>
  <si>
    <t>101.035 101.035 49.569 90.0 90.0 120.0</t>
  </si>
  <si>
    <t>A7-3</t>
  </si>
  <si>
    <t>left end, 2.3 A vis, 1.69 A xds</t>
  </si>
  <si>
    <t>smeary</t>
  </si>
  <si>
    <t>101.124 101.124 49.507 90.0 90.0 120.0</t>
  </si>
  <si>
    <t>A8</t>
  </si>
  <si>
    <t>HIS-1TEL-vWA 2/7/2024 - MDHB</t>
  </si>
  <si>
    <t>reed</t>
  </si>
  <si>
    <t>B1</t>
  </si>
  <si>
    <t>some ice, 3.0 A vis, 2.0 A xds</t>
  </si>
  <si>
    <t xml:space="preserve">smeary </t>
  </si>
  <si>
    <t>101.250 101.250 49.481 90.0 90.0 120.0</t>
  </si>
  <si>
    <t>B2</t>
  </si>
  <si>
    <t>RODS, 0.2</t>
  </si>
  <si>
    <t>ice, empty loop</t>
  </si>
  <si>
    <t>B3</t>
  </si>
  <si>
    <t>B4</t>
  </si>
  <si>
    <t>empty loop or no diffraction</t>
  </si>
  <si>
    <t>Moody stopped here at 8 PM</t>
  </si>
  <si>
    <t>B5</t>
  </si>
  <si>
    <t>B6</t>
  </si>
  <si>
    <t>prasadika</t>
  </si>
  <si>
    <t>2.5 A vis</t>
  </si>
  <si>
    <t>smeary at 3A</t>
  </si>
  <si>
    <t>101.245 101.245 49.515 90.0 90.0 120.0</t>
  </si>
  <si>
    <t>B6-2</t>
  </si>
  <si>
    <t>101.346 101.346 49.497 90.0 90.0 120.0</t>
  </si>
  <si>
    <t>B7</t>
  </si>
  <si>
    <t>B8</t>
  </si>
  <si>
    <t>some ice, no diffraction</t>
  </si>
  <si>
    <t>C1</t>
  </si>
  <si>
    <t>C2</t>
  </si>
  <si>
    <t>some ice, no crystal</t>
  </si>
  <si>
    <t>C3</t>
  </si>
  <si>
    <t xml:space="preserve">some ice, no diffraction </t>
  </si>
  <si>
    <t>C4</t>
  </si>
  <si>
    <t>HIS-1TEL-vWA 2/7/2024 - MTHB (6)</t>
  </si>
  <si>
    <t>BLOB, 0.3</t>
  </si>
  <si>
    <t>B5,INDEX C4 Condition,</t>
  </si>
  <si>
    <t>C5</t>
  </si>
  <si>
    <t>HIS-1TEL-vWA 2/7/2024 - MTHB</t>
  </si>
  <si>
    <t>no crystal</t>
  </si>
  <si>
    <t>C6</t>
  </si>
  <si>
    <t>C7</t>
  </si>
  <si>
    <t>2.9 A vis, twinned?</t>
  </si>
  <si>
    <t>good</t>
  </si>
  <si>
    <t>100.532 100.532 48.825 90.0 90.0 120.0</t>
  </si>
  <si>
    <t>C7-2</t>
  </si>
  <si>
    <t>Less twinned, 2.8 A vis, 2.17 A xds</t>
  </si>
  <si>
    <t>101.071 101.071 49.221 90.0 90.0 120.0</t>
  </si>
  <si>
    <t>C8</t>
  </si>
  <si>
    <t>RICE , 0.3</t>
  </si>
  <si>
    <t>C1, INDEX C4 Condition,</t>
  </si>
  <si>
    <t>D1</t>
  </si>
  <si>
    <t>C1,INDEX C4 Condition,</t>
  </si>
  <si>
    <t>D2</t>
  </si>
  <si>
    <t>HIS-1TEL-vWA 2/7/2024 - DHB (12)</t>
  </si>
  <si>
    <t>C2,INDEX C4 Condition,</t>
  </si>
  <si>
    <t>ice, no diffraction</t>
  </si>
  <si>
    <t>D3</t>
  </si>
  <si>
    <t>HIS-1TEL-vWA 2/7/2024 - DHB</t>
  </si>
  <si>
    <t>17.6 A</t>
  </si>
  <si>
    <t>D4</t>
  </si>
  <si>
    <t>ice, no diffraction, empty loop?</t>
  </si>
  <si>
    <t>D5</t>
  </si>
  <si>
    <t>D6</t>
  </si>
  <si>
    <t>some ice, no diffraction, empty loop?</t>
  </si>
  <si>
    <t>D7</t>
  </si>
  <si>
    <t>D8</t>
  </si>
  <si>
    <t>E1</t>
  </si>
  <si>
    <t>E2</t>
  </si>
  <si>
    <t>E3</t>
  </si>
  <si>
    <t>23 A</t>
  </si>
  <si>
    <t>E4</t>
  </si>
  <si>
    <t>E5</t>
  </si>
  <si>
    <t>Broken loop</t>
  </si>
  <si>
    <t>E6</t>
  </si>
  <si>
    <t>E7</t>
  </si>
  <si>
    <t>HIS-1TEL-vWA 2/7/2024 - PG (20, 7)</t>
  </si>
  <si>
    <t>E7-1</t>
  </si>
  <si>
    <t>RICE,0.3</t>
  </si>
  <si>
    <t>1.90 A xds</t>
  </si>
  <si>
    <t>99.480 99.480 50.828 90.0 90.0 120.0</t>
  </si>
  <si>
    <t>E7-2</t>
  </si>
  <si>
    <t>1.88 A xds</t>
  </si>
  <si>
    <t>99.565 99.565 50.932 90.0 90.0 120.0</t>
  </si>
  <si>
    <t>E7-3</t>
  </si>
  <si>
    <t>1.69 A xds</t>
  </si>
  <si>
    <t>99.525 99.525 50.798 90.0 90.0 120.0</t>
  </si>
  <si>
    <t>E7-4</t>
  </si>
  <si>
    <t>1082-1316</t>
  </si>
  <si>
    <t>99.395 99.395 50.749 90.0 90.0 120.0</t>
  </si>
  <si>
    <t>1000-1500</t>
  </si>
  <si>
    <t>E7-5</t>
  </si>
  <si>
    <t>1.54 A xds</t>
  </si>
  <si>
    <t>99.477 99.477 50.669 90.0 90.0 120.0</t>
  </si>
  <si>
    <t>E8</t>
  </si>
  <si>
    <t>F1</t>
  </si>
  <si>
    <t>1.61 A xds</t>
  </si>
  <si>
    <t>101.028 101.028 49.670 90.0 90.0 120.0</t>
  </si>
  <si>
    <t>F1-2</t>
  </si>
  <si>
    <t>1.78 A xds</t>
  </si>
  <si>
    <t>smeared a little</t>
  </si>
  <si>
    <t>101.083 101.083 49.805 90.0 90.0 120.0</t>
  </si>
  <si>
    <t>F1-3</t>
  </si>
  <si>
    <t>101.126 101.126 49.596 90.0 90.0 120.0</t>
  </si>
  <si>
    <t>F2</t>
  </si>
  <si>
    <t>1.89 A xds</t>
  </si>
  <si>
    <t>101.697 101.697 49.697 90.0 90.0 120.0</t>
  </si>
  <si>
    <t>F3</t>
  </si>
  <si>
    <t>101.300 101.300 49.566 90.0 90.0 120.0</t>
  </si>
  <si>
    <t>F3-2</t>
  </si>
  <si>
    <t>P6</t>
  </si>
  <si>
    <t>101.388 101.388 49.571 90.0 90.0 120.0</t>
  </si>
  <si>
    <t>F4</t>
  </si>
  <si>
    <t>938-1613</t>
  </si>
  <si>
    <t xml:space="preserve">  101.341 101.341 49.521 90.0 90.0 120.0</t>
  </si>
  <si>
    <t>F5</t>
  </si>
  <si>
    <t>2.18 A xds</t>
  </si>
  <si>
    <t>yes</t>
  </si>
  <si>
    <t>101.308 101.308 49.461 90.0 90.0 120.0</t>
  </si>
  <si>
    <t>F5-2</t>
  </si>
  <si>
    <t>2.38 A xds</t>
  </si>
  <si>
    <t>F6</t>
  </si>
  <si>
    <t>HIS-1TEL-vWA 2/7/2024 - PH</t>
  </si>
  <si>
    <t>TEAR DROP,0.3</t>
  </si>
  <si>
    <t>C5,INDEX C4 Condition,</t>
  </si>
  <si>
    <t>empty loop</t>
  </si>
  <si>
    <t>F7</t>
  </si>
  <si>
    <t>2.2 A vis, 1.69 A xds</t>
  </si>
  <si>
    <t>101.183 101.183 49.193 90.0 90.0 120.0</t>
  </si>
  <si>
    <t>F7-2</t>
  </si>
  <si>
    <t>2.6 A vis, 1.69 A xds</t>
  </si>
  <si>
    <t>101.334 101.334 49.187 90.0 90.0 120.0</t>
  </si>
  <si>
    <t>F7-3</t>
  </si>
  <si>
    <t>1.74 A xds</t>
  </si>
  <si>
    <t>101.374 101.374 49.175 90.0 90.0 120.0</t>
  </si>
  <si>
    <t>F7-4</t>
  </si>
  <si>
    <t>1.79 A xds</t>
  </si>
  <si>
    <t>101.452 101.452 49.397 90.0 90.0 120.0</t>
  </si>
  <si>
    <t>F8</t>
  </si>
  <si>
    <t>C10,INDEX C4 Condition,</t>
  </si>
  <si>
    <t>G1</t>
  </si>
  <si>
    <t>VPS34_Cocrystallization_RD-I-53</t>
  </si>
  <si>
    <t>Rectangular</t>
  </si>
  <si>
    <t>A6 PegCustom</t>
  </si>
  <si>
    <t>Wisdom</t>
  </si>
  <si>
    <t>collection details?</t>
  </si>
  <si>
    <t>P212121</t>
  </si>
  <si>
    <t>113.425 114.625 144.814 90.0 90.0 90.0</t>
  </si>
  <si>
    <t>try in P2</t>
  </si>
  <si>
    <t>P2</t>
  </si>
  <si>
    <t>112.965 114.340 144.277 90.000 90.203 90.000</t>
  </si>
  <si>
    <t>try in P422</t>
  </si>
  <si>
    <t>P422</t>
  </si>
  <si>
    <t>113.243 113.243 143.812 90.0 90.0 90.0</t>
  </si>
  <si>
    <t>G1-2</t>
  </si>
  <si>
    <t xml:space="preserve"> 112.798 114.714 145.052 90.0 90.0 90.0</t>
  </si>
  <si>
    <t xml:space="preserve"> no SG_ rm_frames</t>
  </si>
  <si>
    <t>1600-1800</t>
  </si>
  <si>
    <t>112.697 114.656 144.965 90.0 90.0 90.0</t>
  </si>
  <si>
    <t>no SG_rm_frames 1200-1800</t>
  </si>
  <si>
    <t>1200-1800</t>
  </si>
  <si>
    <t>112.632 114.579 144.893 90.0 90.0 90.0</t>
  </si>
  <si>
    <t>114.220 112.379 144.355 90.000 90.197 90.000</t>
  </si>
  <si>
    <t xml:space="preserve"> 113.964 113.964 145.510 90.0 90.0 90.0</t>
  </si>
  <si>
    <t>G2</t>
  </si>
  <si>
    <t>fair</t>
  </si>
  <si>
    <t>114.098 114.098 145.649 90.0 90.0 90.0</t>
  </si>
  <si>
    <t xml:space="preserve">try in P222 </t>
  </si>
  <si>
    <t>P222</t>
  </si>
  <si>
    <t>113.846 114.076 145.459 90.0 90.0 90.0</t>
  </si>
  <si>
    <t>try in P222 _rm_frames 1400-1800</t>
  </si>
  <si>
    <t>1400-1800</t>
  </si>
  <si>
    <t>113.879 114.107 145.502 90.0 90.0 90.0</t>
  </si>
  <si>
    <t>try in P2 [...]</t>
  </si>
  <si>
    <t>G3</t>
  </si>
  <si>
    <t>A7 PegCustom</t>
  </si>
  <si>
    <t>--&gt;</t>
  </si>
  <si>
    <t>112.229 114.874 143.505 90.0 90.0 90.0</t>
  </si>
  <si>
    <t xml:space="preserve">try in P2 </t>
  </si>
  <si>
    <t>112.170 114.812 143.426 90.000 90.053 90.000</t>
  </si>
  <si>
    <t>114.196 114.196 142.764 90.0 90.0 90.0</t>
  </si>
  <si>
    <t>G4</t>
  </si>
  <si>
    <t>159.648 159.696 143.271 90.000 90.214 90.000</t>
  </si>
  <si>
    <t>112.561 113.372 143.357 90.000 90.149 90.000</t>
  </si>
  <si>
    <t>112.781 112.781 143.068 90.0 90.0 90.0</t>
  </si>
  <si>
    <t>G5</t>
  </si>
  <si>
    <t>B7 PegCustom</t>
  </si>
  <si>
    <t>G6</t>
  </si>
  <si>
    <t>VPS34_Cocrystallization_RD-I-86</t>
  </si>
  <si>
    <t>A5 PegCustom</t>
  </si>
  <si>
    <t>G7</t>
  </si>
  <si>
    <t>3.32 A vis</t>
  </si>
  <si>
    <t>G8</t>
  </si>
  <si>
    <t>H1</t>
  </si>
  <si>
    <t>H2</t>
  </si>
  <si>
    <t>2.39 A xds</t>
  </si>
  <si>
    <t xml:space="preserve"> P41212</t>
  </si>
  <si>
    <t>113.299 113.299 145.673 90.0 90.0 90.0</t>
  </si>
  <si>
    <t xml:space="preserve"> 113.273 113.604 145.835 90.000 90.047 90.000</t>
  </si>
  <si>
    <t>try in P4 [...]</t>
  </si>
  <si>
    <t>P4</t>
  </si>
  <si>
    <t>try in P222 [...]</t>
  </si>
  <si>
    <t>113.361 113.667 145.928 90.0 90.0 90.0</t>
  </si>
  <si>
    <t>113.449 113.449 145.863 90.0 90.0 90.0</t>
  </si>
  <si>
    <t>H3</t>
  </si>
  <si>
    <t>B10 PegCustom</t>
  </si>
  <si>
    <t>H4</t>
  </si>
  <si>
    <t>2.69 A xds</t>
  </si>
  <si>
    <t>113.445 114.313 145.408 90.0 90.0 90.0</t>
  </si>
  <si>
    <t>114.331 113.509 145.486 90.000 90.184 90.000</t>
  </si>
  <si>
    <t>113.438 113.438 144.932 90.0 90.0 90.0</t>
  </si>
  <si>
    <t>H5</t>
  </si>
  <si>
    <t>1T-SR-VPS_Drug Soak_RD-I-53</t>
  </si>
  <si>
    <t>V-Shapped</t>
  </si>
  <si>
    <t>F3 pH-NaOAc-PEG</t>
  </si>
  <si>
    <t>H6</t>
  </si>
  <si>
    <t>H7</t>
  </si>
  <si>
    <t>1TEL-PQ-VPS34_Cocrystallization_RD-I-86</t>
  </si>
  <si>
    <t>Block</t>
  </si>
  <si>
    <t>C3 SaltRx</t>
  </si>
  <si>
    <t>H8</t>
  </si>
  <si>
    <t>I1</t>
  </si>
  <si>
    <t>I2</t>
  </si>
  <si>
    <t>Needle</t>
  </si>
  <si>
    <t>F12 PegCustom</t>
  </si>
  <si>
    <t>I3</t>
  </si>
  <si>
    <t xml:space="preserve"> </t>
  </si>
  <si>
    <t>I4</t>
  </si>
  <si>
    <t>1TEL-PP-VPS34_Cocrystallization_RD-I-86</t>
  </si>
  <si>
    <t>Cube</t>
  </si>
  <si>
    <t>B8 PegCustom</t>
  </si>
  <si>
    <t>I5</t>
  </si>
  <si>
    <t>7.3 A vis</t>
  </si>
  <si>
    <t>I6</t>
  </si>
  <si>
    <t>B9 PegCustom</t>
  </si>
  <si>
    <t>6.6 A vis</t>
  </si>
  <si>
    <t>I7</t>
  </si>
  <si>
    <t>9.0 A vis</t>
  </si>
  <si>
    <t>I8</t>
  </si>
  <si>
    <t>J1</t>
  </si>
  <si>
    <t>Ball</t>
  </si>
  <si>
    <t>D1 SaltRx</t>
  </si>
  <si>
    <t>J2</t>
  </si>
  <si>
    <t>J3</t>
  </si>
  <si>
    <t>J4</t>
  </si>
  <si>
    <t>F4 SaltRx</t>
  </si>
  <si>
    <t>J5</t>
  </si>
  <si>
    <t>1TEL-SR-VPS34_Cocrystallization_RD-I-86</t>
  </si>
  <si>
    <t>Prism</t>
  </si>
  <si>
    <t>B2 pH-NaOAc-PEG</t>
  </si>
  <si>
    <t>2.85 A xds</t>
  </si>
  <si>
    <t>112.182 113.869 143.936 90.0 90.0 90.0</t>
  </si>
  <si>
    <t>113.721 112.082 143.786 90.0 90.119 90.0</t>
  </si>
  <si>
    <t>112.415 112.415 143.235 90.0 90.0 90.0</t>
  </si>
  <si>
    <t>J5-2</t>
  </si>
  <si>
    <t>2.81 A xds</t>
  </si>
  <si>
    <t>indexing failed</t>
  </si>
  <si>
    <t>J5-3</t>
  </si>
  <si>
    <t>2.58 A xds</t>
  </si>
  <si>
    <t>C2221</t>
  </si>
  <si>
    <t>159.788 159.782 143.968 90.0 90.0 90.0</t>
  </si>
  <si>
    <t>112.713 113.254 143.997 90.0 90.0 90.0</t>
  </si>
  <si>
    <t xml:space="preserve"> 112.923 112.923 143.904 90.0 90.0 90.0</t>
  </si>
  <si>
    <t>try in P65</t>
  </si>
  <si>
    <t>P1</t>
  </si>
  <si>
    <t>112.325 113.000 143.600 90.141 90.217 90.022</t>
  </si>
  <si>
    <t>J6</t>
  </si>
  <si>
    <t>J7</t>
  </si>
  <si>
    <t>Rectangular Prism</t>
  </si>
  <si>
    <t>C4 SaltRx</t>
  </si>
  <si>
    <t>J8</t>
  </si>
  <si>
    <t>B10 SaltRx</t>
  </si>
  <si>
    <t>some ice, 8.7 A vis</t>
  </si>
  <si>
    <t>K1</t>
  </si>
  <si>
    <t>K1-15</t>
  </si>
  <si>
    <t>B4 pH-NaOAc-PEG</t>
  </si>
  <si>
    <t>2.95 A xds</t>
  </si>
  <si>
    <t>112.123 113.907 144.860 90.0 90.0 90.0</t>
  </si>
  <si>
    <t>114.179 112.380 145.154 90.0 90.221 90.0</t>
  </si>
  <si>
    <t>113.712 113.712 145.322 90.0 90.0 90.0</t>
  </si>
  <si>
    <t>K1-80</t>
  </si>
  <si>
    <t>P42212</t>
  </si>
  <si>
    <t>112.734 112.734 143.661 90.0 90.0 90.0</t>
  </si>
  <si>
    <t>113.469 113.701 144.817 90.000 90.153 90.000</t>
  </si>
  <si>
    <t>113.361 113.694 144.738 90.0 90.0 90.0</t>
  </si>
  <si>
    <t>try in P4</t>
  </si>
  <si>
    <t>try in P41212</t>
  </si>
  <si>
    <t>P41212</t>
  </si>
  <si>
    <t xml:space="preserve"> 113.411 113.411 144.575 90.0 90.0 90.0</t>
  </si>
  <si>
    <t>K2</t>
  </si>
  <si>
    <t>K2-79</t>
  </si>
  <si>
    <t>2.50 A xds</t>
  </si>
  <si>
    <t>113.457 113.457 145.893 90.0 90.0 90.0</t>
  </si>
  <si>
    <t>try in P222</t>
  </si>
  <si>
    <t>113.384 113.488 145.871 90.0 90.0 90.0</t>
  </si>
  <si>
    <t>K2-95</t>
  </si>
  <si>
    <t>115.920 144.670 111.704 90.0 90.0 90.0</t>
  </si>
  <si>
    <t xml:space="preserve"> 113.815 113.815 144.212 90.0 90.0 90.</t>
  </si>
  <si>
    <t>K3</t>
  </si>
  <si>
    <t>K3-15_114</t>
  </si>
  <si>
    <t>A9 pH-NaOAc-PEG</t>
  </si>
  <si>
    <t>2.48 xds</t>
  </si>
  <si>
    <t>113.258 113.258 146.183 90.0 90.0 90.0</t>
  </si>
  <si>
    <t xml:space="preserve"> 113.202 113.343 146.197 90.0 90.0 90.0</t>
  </si>
  <si>
    <t>K3-15-134</t>
  </si>
  <si>
    <t>113.769 113.769 146.760 90.0 90.0 90.0</t>
  </si>
  <si>
    <t>K3-40_114</t>
  </si>
  <si>
    <t>113.328 113.328 146.282 90.0 90.0 90.0</t>
  </si>
  <si>
    <t>K3-40_134</t>
  </si>
  <si>
    <t>2.16 A xds</t>
  </si>
  <si>
    <t>113.786 113.786 146.901 90.0 90.0 90.0</t>
  </si>
  <si>
    <t>excellent</t>
  </si>
  <si>
    <t>K3-40_169</t>
  </si>
  <si>
    <t>113.453 113.453 146.543 90.0 90.0 90.0</t>
  </si>
  <si>
    <t>K4-1</t>
  </si>
  <si>
    <t>2.72 A xds</t>
  </si>
  <si>
    <t>113.991 113.991 145.730 90.0 90.0 90.0</t>
  </si>
  <si>
    <t xml:space="preserve"> 113.976 113.976 145.710 90.0 90.0 90.0</t>
  </si>
  <si>
    <t>113.143 113.937 145.385 90.0 90.0 90.0</t>
  </si>
  <si>
    <t>K4-2</t>
  </si>
  <si>
    <t>2.66 A xds</t>
  </si>
  <si>
    <t>112.026 114.177 143.788 90.0 90.0 90.0</t>
  </si>
  <si>
    <t>113.155 113.155 143.982 90.0 90.0 90.0</t>
  </si>
  <si>
    <t>K5</t>
  </si>
  <si>
    <t>A8 pH-NaOAc-PEG</t>
  </si>
  <si>
    <t>2.92 A xds</t>
  </si>
  <si>
    <t>112.593 114.795 144.973 90.0 90.0 90.0</t>
  </si>
  <si>
    <t>rm frames 1600-1800</t>
  </si>
  <si>
    <t>112.500 114.714 144.917 90.0 90.0 90.0</t>
  </si>
  <si>
    <t>try in P2 ---&gt;</t>
  </si>
  <si>
    <t>114.569 112.354 144.768 90.0 90.113 90.0</t>
  </si>
  <si>
    <t>115.302 115.302 146.063 90.0 90.0 90.0</t>
  </si>
  <si>
    <t>K6</t>
  </si>
  <si>
    <t>K7</t>
  </si>
  <si>
    <t>2.17 A xds</t>
  </si>
  <si>
    <t>113.777 113.777 145.470 90.0 90.0 90.0</t>
  </si>
  <si>
    <t>113.795 113.856 145.528 90.0 90.0 90.0</t>
  </si>
  <si>
    <t>L1</t>
  </si>
  <si>
    <t>Large Prisms</t>
  </si>
  <si>
    <t>D6 Index</t>
  </si>
  <si>
    <t>2.07 A xds</t>
  </si>
  <si>
    <t>113.886 113.886 146.339 90.0 90.0 90.0</t>
  </si>
  <si>
    <t>113.852 113.826 146.283 90.0 90.0 90.0</t>
  </si>
  <si>
    <t>L3</t>
  </si>
  <si>
    <t>2.46 A xds</t>
  </si>
  <si>
    <t>112.165 113.698 143.087 90.0 90.0 90.0</t>
  </si>
  <si>
    <t>112.804 112.804 142.693 90.0 90.0 90.0</t>
  </si>
  <si>
    <t>L4</t>
  </si>
  <si>
    <t>113.561 113.561 145.344 90.0 90.0 90.0</t>
  </si>
  <si>
    <t>113.107 113.672 145.159 90.0 90.0 90.0</t>
  </si>
  <si>
    <t>113.440 113.440 145.206 90.0 90.0 90.0</t>
  </si>
  <si>
    <t>L6</t>
  </si>
  <si>
    <t>VPS34_Drugsoak_RD-I-86</t>
  </si>
  <si>
    <t>L7</t>
  </si>
  <si>
    <t>F5 Index</t>
  </si>
  <si>
    <t>2.06 A xds</t>
  </si>
  <si>
    <t>113.045 113.045 145.268 90.0 90.0 90.0</t>
  </si>
  <si>
    <t xml:space="preserve">good </t>
  </si>
  <si>
    <t xml:space="preserve"> 113.073 113.026 145.271 90.0 90.0 90.0</t>
  </si>
  <si>
    <t>113.049 113.049 145.268 90.0 90.0 90.0</t>
  </si>
  <si>
    <t>L8-1</t>
  </si>
  <si>
    <t>113.52 113.52 146.05 90.0 90.0 90.0</t>
  </si>
  <si>
    <t xml:space="preserve"> 113.457 113.543 146.052 90.0 90.0 90.0</t>
  </si>
  <si>
    <t>L8-2</t>
  </si>
  <si>
    <t>113.159 113.159 145.684 90.0 90.0 90.0</t>
  </si>
  <si>
    <t>rm_frames 900-1800</t>
  </si>
  <si>
    <t>900-1800</t>
  </si>
  <si>
    <t>113.158 113.185 145.696 90.0 90.0 90.0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</si>
</sst>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000"/>
  </numFmts>
  <fonts count="10">
    <font>
      <sz val="11"/>
      <color theme="1"/>
      <name val="Calibri"/>
      <scheme val="minor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Calibri"/>
    </font>
    <font>
      <b/>
      <sz val="10"/>
      <color theme="1"/>
      <name val="Arial"/>
    </font>
    <font>
      <sz val="9"/>
      <color rgb="FF1F1F1F"/>
      <name val="Arial"/>
    </font>
    <font>
      <sz val="11"/>
      <color theme="1"/>
      <name val="Calibri"/>
      <scheme val="minor"/>
    </font>
    <font>
      <sz val="10"/>
      <color rgb="FF000000"/>
      <name val="Arial"/>
      <charset val="1"/>
    </font>
    <font>
      <sz val="10"/>
      <color rgb="FFFF0000"/>
      <name val="Arial"/>
    </font>
    <font>
      <sz val="11"/>
      <color theme="1"/>
      <name val="Courier New"/>
      <charset val="1"/>
    </font>
  </fonts>
  <fills count="17">
    <fill>
      <patternFill patternType="none"/>
    </fill>
    <fill>
      <patternFill patternType="gray125"/>
    </fill>
    <fill>
      <patternFill patternType="solid">
        <fgColor rgb="FFFF33CC"/>
        <bgColor rgb="FFFF33CC"/>
      </patternFill>
    </fill>
    <fill>
      <patternFill patternType="solid">
        <fgColor rgb="FFB2B2B2"/>
        <bgColor rgb="FFB2B2B2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49" fontId="2" fillId="3" borderId="3" xfId="0" applyNumberFormat="1" applyFont="1" applyFill="1" applyBorder="1" applyAlignment="1">
      <alignment horizontal="center" wrapText="1"/>
    </xf>
    <xf numFmtId="49" fontId="2" fillId="3" borderId="4" xfId="0" applyNumberFormat="1" applyFont="1" applyFill="1" applyBorder="1" applyAlignment="1">
      <alignment horizontal="center" wrapText="1"/>
    </xf>
    <xf numFmtId="164" fontId="3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/>
    <xf numFmtId="0" fontId="1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14" fontId="1" fillId="9" borderId="0" xfId="0" applyNumberFormat="1" applyFont="1" applyFill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0" fontId="8" fillId="8" borderId="0" xfId="0" applyFont="1" applyFill="1" applyAlignment="1">
      <alignment horizontal="center"/>
    </xf>
    <xf numFmtId="164" fontId="3" fillId="10" borderId="5" xfId="0" applyNumberFormat="1" applyFont="1" applyFill="1" applyBorder="1" applyAlignment="1">
      <alignment horizontal="center"/>
    </xf>
    <xf numFmtId="49" fontId="1" fillId="10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 wrapText="1"/>
    </xf>
    <xf numFmtId="0" fontId="1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 wrapText="1"/>
    </xf>
    <xf numFmtId="14" fontId="1" fillId="10" borderId="0" xfId="0" applyNumberFormat="1" applyFont="1" applyFill="1" applyAlignment="1">
      <alignment horizontal="center"/>
    </xf>
    <xf numFmtId="0" fontId="0" fillId="10" borderId="0" xfId="0" applyFill="1"/>
    <xf numFmtId="164" fontId="3" fillId="11" borderId="5" xfId="0" applyNumberFormat="1" applyFont="1" applyFill="1" applyBorder="1" applyAlignment="1">
      <alignment horizontal="center"/>
    </xf>
    <xf numFmtId="49" fontId="1" fillId="11" borderId="0" xfId="0" applyNumberFormat="1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14" fontId="1" fillId="11" borderId="0" xfId="0" applyNumberFormat="1" applyFont="1" applyFill="1" applyAlignment="1">
      <alignment horizontal="center"/>
    </xf>
    <xf numFmtId="0" fontId="0" fillId="11" borderId="0" xfId="0" applyFill="1"/>
    <xf numFmtId="164" fontId="3" fillId="12" borderId="5" xfId="0" applyNumberFormat="1" applyFont="1" applyFill="1" applyBorder="1" applyAlignment="1">
      <alignment horizontal="center"/>
    </xf>
    <xf numFmtId="49" fontId="1" fillId="12" borderId="0" xfId="0" applyNumberFormat="1" applyFont="1" applyFill="1" applyAlignment="1">
      <alignment horizontal="center"/>
    </xf>
    <xf numFmtId="0" fontId="1" fillId="12" borderId="0" xfId="0" applyFont="1" applyFill="1" applyAlignment="1">
      <alignment horizontal="center" wrapText="1"/>
    </xf>
    <xf numFmtId="0" fontId="1" fillId="12" borderId="0" xfId="0" applyFont="1" applyFill="1" applyAlignment="1">
      <alignment horizontal="center"/>
    </xf>
    <xf numFmtId="0" fontId="4" fillId="12" borderId="0" xfId="0" applyFont="1" applyFill="1" applyAlignment="1">
      <alignment horizontal="center" wrapText="1"/>
    </xf>
    <xf numFmtId="14" fontId="1" fillId="12" borderId="0" xfId="0" applyNumberFormat="1" applyFont="1" applyFill="1" applyAlignment="1">
      <alignment horizontal="center"/>
    </xf>
    <xf numFmtId="0" fontId="0" fillId="12" borderId="0" xfId="0" applyFill="1"/>
    <xf numFmtId="0" fontId="7" fillId="11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5" fillId="9" borderId="1" xfId="0" applyFont="1" applyFill="1" applyBorder="1" applyAlignment="1">
      <alignment horizontal="center" wrapText="1"/>
    </xf>
    <xf numFmtId="14" fontId="1" fillId="9" borderId="1" xfId="0" applyNumberFormat="1" applyFont="1" applyFill="1" applyBorder="1" applyAlignment="1">
      <alignment horizontal="center"/>
    </xf>
    <xf numFmtId="164" fontId="3" fillId="13" borderId="5" xfId="0" applyNumberFormat="1" applyFont="1" applyFill="1" applyBorder="1" applyAlignment="1">
      <alignment horizontal="center"/>
    </xf>
    <xf numFmtId="49" fontId="1" fillId="13" borderId="0" xfId="0" applyNumberFormat="1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1" fillId="13" borderId="0" xfId="0" applyFont="1" applyFill="1"/>
    <xf numFmtId="0" fontId="1" fillId="13" borderId="0" xfId="0" applyFont="1" applyFill="1" applyAlignment="1">
      <alignment horizontal="center"/>
    </xf>
    <xf numFmtId="0" fontId="4" fillId="13" borderId="0" xfId="0" applyFont="1" applyFill="1" applyAlignment="1">
      <alignment horizontal="center" wrapText="1"/>
    </xf>
    <xf numFmtId="0" fontId="0" fillId="13" borderId="0" xfId="0" applyFill="1" applyAlignment="1">
      <alignment horizontal="center"/>
    </xf>
    <xf numFmtId="165" fontId="1" fillId="13" borderId="0" xfId="0" applyNumberFormat="1" applyFont="1" applyFill="1" applyAlignment="1">
      <alignment horizontal="center"/>
    </xf>
    <xf numFmtId="0" fontId="0" fillId="13" borderId="0" xfId="0" applyFill="1"/>
    <xf numFmtId="0" fontId="1" fillId="13" borderId="0" xfId="0" applyFont="1" applyFill="1" applyAlignment="1">
      <alignment horizontal="center" wrapText="1"/>
    </xf>
    <xf numFmtId="14" fontId="1" fillId="13" borderId="0" xfId="0" applyNumberFormat="1" applyFont="1" applyFill="1" applyAlignment="1">
      <alignment horizontal="center"/>
    </xf>
    <xf numFmtId="0" fontId="5" fillId="13" borderId="0" xfId="0" applyFont="1" applyFill="1" applyAlignment="1">
      <alignment horizontal="center" wrapText="1"/>
    </xf>
    <xf numFmtId="0" fontId="1" fillId="13" borderId="1" xfId="0" applyFont="1" applyFill="1" applyBorder="1" applyAlignment="1">
      <alignment horizontal="center"/>
    </xf>
    <xf numFmtId="165" fontId="1" fillId="13" borderId="1" xfId="0" applyNumberFormat="1" applyFont="1" applyFill="1" applyBorder="1" applyAlignment="1">
      <alignment horizontal="center"/>
    </xf>
    <xf numFmtId="164" fontId="3" fillId="8" borderId="5" xfId="0" applyNumberFormat="1" applyFont="1" applyFill="1" applyBorder="1" applyAlignment="1">
      <alignment horizontal="center"/>
    </xf>
    <xf numFmtId="49" fontId="1" fillId="8" borderId="0" xfId="0" applyNumberFormat="1" applyFont="1" applyFill="1" applyAlignment="1">
      <alignment horizontal="center"/>
    </xf>
    <xf numFmtId="0" fontId="1" fillId="8" borderId="0" xfId="0" applyFont="1" applyFill="1" applyAlignment="1">
      <alignment horizontal="center" wrapText="1"/>
    </xf>
    <xf numFmtId="0" fontId="4" fillId="8" borderId="0" xfId="0" applyFont="1" applyFill="1" applyAlignment="1">
      <alignment horizontal="center" wrapText="1"/>
    </xf>
    <xf numFmtId="14" fontId="1" fillId="8" borderId="0" xfId="0" applyNumberFormat="1" applyFont="1" applyFill="1" applyAlignment="1">
      <alignment horizontal="center"/>
    </xf>
    <xf numFmtId="0" fontId="0" fillId="8" borderId="0" xfId="0" applyFill="1"/>
    <xf numFmtId="0" fontId="1" fillId="9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164" fontId="3" fillId="15" borderId="5" xfId="0" applyNumberFormat="1" applyFont="1" applyFill="1" applyBorder="1" applyAlignment="1">
      <alignment horizontal="center"/>
    </xf>
    <xf numFmtId="49" fontId="1" fillId="15" borderId="0" xfId="0" applyNumberFormat="1" applyFont="1" applyFill="1" applyAlignment="1">
      <alignment horizontal="center"/>
    </xf>
    <xf numFmtId="0" fontId="1" fillId="15" borderId="0" xfId="0" applyFont="1" applyFill="1" applyAlignment="1">
      <alignment horizontal="center" wrapText="1"/>
    </xf>
    <xf numFmtId="0" fontId="1" fillId="15" borderId="0" xfId="0" applyFont="1" applyFill="1" applyAlignment="1">
      <alignment horizontal="center"/>
    </xf>
    <xf numFmtId="0" fontId="4" fillId="15" borderId="0" xfId="0" applyFont="1" applyFill="1" applyAlignment="1">
      <alignment horizontal="center" wrapText="1"/>
    </xf>
    <xf numFmtId="14" fontId="1" fillId="15" borderId="0" xfId="0" applyNumberFormat="1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15" borderId="0" xfId="0" applyFill="1"/>
    <xf numFmtId="0" fontId="0" fillId="7" borderId="0" xfId="0" applyFill="1"/>
    <xf numFmtId="164" fontId="3" fillId="15" borderId="1" xfId="0" applyNumberFormat="1" applyFont="1" applyFill="1" applyBorder="1" applyAlignment="1">
      <alignment horizontal="center"/>
    </xf>
    <xf numFmtId="164" fontId="3" fillId="8" borderId="1" xfId="0" applyNumberFormat="1" applyFont="1" applyFill="1" applyBorder="1" applyAlignment="1">
      <alignment horizontal="center"/>
    </xf>
    <xf numFmtId="0" fontId="9" fillId="0" borderId="0" xfId="0" applyFont="1"/>
    <xf numFmtId="0" fontId="7" fillId="8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49" fontId="2" fillId="9" borderId="4" xfId="0" applyNumberFormat="1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FD161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89"/>
  <sheetViews>
    <sheetView tabSelected="1" workbookViewId="0">
      <pane xSplit="5" ySplit="1" topLeftCell="S158" activePane="bottomRight" state="frozen"/>
      <selection pane="bottomRight" activeCell="AJ153" sqref="AJ153"/>
      <selection pane="bottomLeft"/>
      <selection pane="topRight"/>
    </sheetView>
  </sheetViews>
  <sheetFormatPr defaultColWidth="14.42578125" defaultRowHeight="15" customHeight="1"/>
  <cols>
    <col min="1" max="1" width="11" hidden="1" customWidth="1"/>
    <col min="2" max="2" width="4.5703125" hidden="1" customWidth="1"/>
    <col min="3" max="3" width="8.7109375" hidden="1" customWidth="1"/>
    <col min="4" max="4" width="38.42578125" bestFit="1" customWidth="1"/>
    <col min="5" max="5" width="10.28515625" bestFit="1" customWidth="1"/>
    <col min="6" max="6" width="16.5703125" customWidth="1"/>
    <col min="7" max="7" width="12.85546875" customWidth="1"/>
    <col min="8" max="8" width="26.140625" customWidth="1"/>
    <col min="9" max="9" width="5.7109375" customWidth="1"/>
    <col min="10" max="10" width="6.85546875" customWidth="1"/>
    <col min="11" max="11" width="9.85546875" customWidth="1"/>
    <col min="12" max="12" width="32.140625" customWidth="1"/>
    <col min="13" max="13" width="8.140625" style="22" customWidth="1"/>
    <col min="14" max="14" width="7.85546875" customWidth="1"/>
    <col min="15" max="15" width="6.85546875" customWidth="1"/>
    <col min="16" max="16" width="7.140625" customWidth="1"/>
    <col min="17" max="17" width="10.28515625" customWidth="1"/>
    <col min="18" max="18" width="8.7109375" customWidth="1"/>
    <col min="19" max="19" width="37.28515625" customWidth="1"/>
    <col min="20" max="20" width="8.42578125" style="103" customWidth="1"/>
    <col min="21" max="21" width="7.7109375" customWidth="1"/>
    <col min="22" max="22" width="7.85546875" customWidth="1"/>
    <col min="23" max="23" width="6.5703125" customWidth="1"/>
    <col min="24" max="24" width="6.85546875" customWidth="1"/>
    <col min="25" max="25" width="6.5703125" customWidth="1"/>
    <col min="26" max="26" width="5.140625" bestFit="1" customWidth="1"/>
    <col min="27" max="27" width="8.42578125" bestFit="1" customWidth="1"/>
    <col min="28" max="30" width="6.5703125" customWidth="1"/>
    <col min="31" max="31" width="8.140625" customWidth="1"/>
    <col min="32" max="32" width="7" customWidth="1"/>
    <col min="33" max="33" width="6" customWidth="1"/>
  </cols>
  <sheetData>
    <row r="1" spans="1:33" s="20" customFormat="1" ht="86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9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00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t="12.75" customHeight="1">
      <c r="A2" s="3" t="s">
        <v>33</v>
      </c>
      <c r="B2" s="12" t="s">
        <v>34</v>
      </c>
      <c r="C2" s="12" t="s">
        <v>34</v>
      </c>
      <c r="D2" s="4" t="s">
        <v>35</v>
      </c>
      <c r="E2" s="12" t="s">
        <v>34</v>
      </c>
      <c r="F2" s="4"/>
      <c r="G2" s="7"/>
      <c r="H2" s="4"/>
      <c r="I2" s="7"/>
      <c r="J2" s="7"/>
      <c r="K2" s="5"/>
      <c r="L2" s="7"/>
      <c r="M2" s="7"/>
      <c r="N2" s="7"/>
      <c r="O2" s="7"/>
      <c r="P2" s="7"/>
      <c r="Q2" s="7"/>
      <c r="R2" s="7"/>
      <c r="S2" s="7"/>
      <c r="T2" s="83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ht="12.75" customHeight="1">
      <c r="A3" s="3" t="s">
        <v>33</v>
      </c>
      <c r="B3" s="12" t="s">
        <v>36</v>
      </c>
      <c r="C3" s="12" t="s">
        <v>36</v>
      </c>
      <c r="D3" s="4" t="s">
        <v>35</v>
      </c>
      <c r="E3" s="12" t="s">
        <v>36</v>
      </c>
      <c r="F3" s="4"/>
      <c r="G3" s="7"/>
      <c r="H3" s="4"/>
      <c r="I3" s="7"/>
      <c r="J3" s="7"/>
      <c r="K3" s="5"/>
      <c r="L3" s="7"/>
      <c r="M3" s="7"/>
      <c r="N3" s="7"/>
      <c r="O3" s="7"/>
      <c r="P3" s="7"/>
      <c r="Q3" s="6"/>
      <c r="R3" s="7"/>
      <c r="S3" s="7"/>
      <c r="T3" s="83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ht="12.75" customHeight="1">
      <c r="A4" s="3" t="s">
        <v>33</v>
      </c>
      <c r="B4" s="12" t="s">
        <v>37</v>
      </c>
      <c r="C4" s="12" t="s">
        <v>37</v>
      </c>
      <c r="D4" s="4" t="s">
        <v>35</v>
      </c>
      <c r="E4" s="12" t="s">
        <v>37</v>
      </c>
      <c r="F4" s="4"/>
      <c r="G4" s="7"/>
      <c r="H4" s="4"/>
      <c r="I4" s="7"/>
      <c r="J4" s="7"/>
      <c r="K4" s="5"/>
      <c r="L4" s="7"/>
      <c r="M4" s="7"/>
      <c r="N4" s="7"/>
      <c r="O4" s="7"/>
      <c r="P4" s="7"/>
      <c r="Q4" s="6"/>
      <c r="R4" s="7"/>
      <c r="S4" s="7"/>
      <c r="T4" s="83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 ht="12.75" customHeight="1">
      <c r="A5" s="3" t="s">
        <v>33</v>
      </c>
      <c r="B5" s="12" t="s">
        <v>38</v>
      </c>
      <c r="C5" s="12" t="s">
        <v>38</v>
      </c>
      <c r="D5" s="4" t="s">
        <v>35</v>
      </c>
      <c r="E5" s="12" t="s">
        <v>38</v>
      </c>
      <c r="F5" s="4"/>
      <c r="G5" s="7"/>
      <c r="H5" s="4"/>
      <c r="I5" s="7"/>
      <c r="J5" s="7"/>
      <c r="K5" s="5"/>
      <c r="L5" s="7"/>
      <c r="M5" s="7"/>
      <c r="N5" s="7"/>
      <c r="O5" s="7"/>
      <c r="P5" s="7"/>
      <c r="Q5" s="6"/>
      <c r="R5" s="7"/>
      <c r="S5" s="7"/>
      <c r="T5" s="83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ht="12.75" customHeight="1">
      <c r="A6" s="3" t="s">
        <v>33</v>
      </c>
      <c r="B6" s="12" t="s">
        <v>39</v>
      </c>
      <c r="C6" s="12" t="s">
        <v>39</v>
      </c>
      <c r="D6" s="4" t="s">
        <v>35</v>
      </c>
      <c r="E6" s="12" t="s">
        <v>39</v>
      </c>
      <c r="F6" s="4"/>
      <c r="G6" s="7"/>
      <c r="H6" s="4"/>
      <c r="I6" s="7"/>
      <c r="J6" s="7"/>
      <c r="K6" s="5"/>
      <c r="L6" s="7"/>
      <c r="M6" s="7"/>
      <c r="N6" s="7"/>
      <c r="O6" s="7"/>
      <c r="P6" s="7"/>
      <c r="Q6" s="6"/>
      <c r="R6" s="7"/>
      <c r="S6" s="7"/>
      <c r="T6" s="83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ht="12.75" customHeight="1">
      <c r="A7" s="3" t="s">
        <v>33</v>
      </c>
      <c r="B7" s="12" t="s">
        <v>40</v>
      </c>
      <c r="C7" s="12" t="s">
        <v>40</v>
      </c>
      <c r="D7" s="4" t="s">
        <v>41</v>
      </c>
      <c r="E7" s="12" t="s">
        <v>40</v>
      </c>
      <c r="F7" s="4" t="s">
        <v>42</v>
      </c>
      <c r="G7" s="7"/>
      <c r="H7" s="4" t="s">
        <v>43</v>
      </c>
      <c r="I7" s="7"/>
      <c r="J7" s="7"/>
      <c r="K7" s="5" t="s">
        <v>44</v>
      </c>
      <c r="L7" s="7" t="s">
        <v>45</v>
      </c>
      <c r="M7" s="7"/>
      <c r="N7" s="7"/>
      <c r="O7" s="7"/>
      <c r="P7" s="7"/>
      <c r="Q7" s="6"/>
      <c r="R7" s="7"/>
      <c r="S7" s="7"/>
      <c r="T7" s="83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ht="12.75" customHeight="1">
      <c r="A8" s="3" t="s">
        <v>33</v>
      </c>
      <c r="B8" s="12" t="s">
        <v>46</v>
      </c>
      <c r="C8" s="12" t="s">
        <v>46</v>
      </c>
      <c r="D8" s="55" t="s">
        <v>47</v>
      </c>
      <c r="E8" s="12" t="s">
        <v>46</v>
      </c>
      <c r="F8" s="9" t="s">
        <v>48</v>
      </c>
      <c r="G8" s="7"/>
      <c r="H8" s="9" t="s">
        <v>49</v>
      </c>
      <c r="I8" s="7"/>
      <c r="J8" s="7"/>
      <c r="K8" s="5" t="s">
        <v>44</v>
      </c>
      <c r="L8" s="10" t="s">
        <v>50</v>
      </c>
      <c r="M8" s="7" t="s">
        <v>51</v>
      </c>
      <c r="N8" s="7">
        <v>0.76160000000000005</v>
      </c>
      <c r="O8" s="11">
        <v>0.52500000000000002</v>
      </c>
      <c r="P8" s="7">
        <v>50.94</v>
      </c>
      <c r="Q8" s="7" t="s">
        <v>52</v>
      </c>
      <c r="R8" s="7" t="s">
        <v>53</v>
      </c>
      <c r="S8" s="7" t="s">
        <v>54</v>
      </c>
      <c r="T8" s="83">
        <v>1.861</v>
      </c>
      <c r="U8" s="7">
        <v>0.10100000000000001</v>
      </c>
      <c r="V8" s="7">
        <v>24350</v>
      </c>
      <c r="W8" s="7">
        <v>99.7</v>
      </c>
      <c r="X8" s="7">
        <v>19.5</v>
      </c>
      <c r="Y8" s="7"/>
      <c r="Z8" s="7"/>
      <c r="AA8" s="7"/>
      <c r="AB8" s="7">
        <v>1.8340000000000001</v>
      </c>
      <c r="AC8" s="7">
        <v>9.2999999999999999E-2</v>
      </c>
      <c r="AD8" s="11">
        <v>86.3</v>
      </c>
      <c r="AE8" s="7">
        <v>1.8260000000000001</v>
      </c>
      <c r="AF8" s="7">
        <v>1.8260000000000001</v>
      </c>
      <c r="AG8" s="7">
        <v>2.0299999999999998</v>
      </c>
    </row>
    <row r="9" spans="1:33" ht="12.75" customHeight="1">
      <c r="A9" s="3"/>
      <c r="B9" s="12"/>
      <c r="C9" s="12"/>
      <c r="D9" s="8"/>
      <c r="E9" s="12" t="s">
        <v>55</v>
      </c>
      <c r="F9" s="9"/>
      <c r="G9" s="7"/>
      <c r="H9" s="9"/>
      <c r="I9" s="7"/>
      <c r="J9" s="7"/>
      <c r="K9" s="5"/>
      <c r="L9" s="10" t="s">
        <v>56</v>
      </c>
      <c r="M9" s="7" t="s">
        <v>51</v>
      </c>
      <c r="N9" s="7">
        <v>0.83650000000000002</v>
      </c>
      <c r="O9" s="7">
        <v>0.7</v>
      </c>
      <c r="P9" s="7">
        <v>38.86</v>
      </c>
      <c r="Q9" s="7" t="s">
        <v>52</v>
      </c>
      <c r="R9" s="7" t="s">
        <v>57</v>
      </c>
      <c r="S9" s="7" t="s">
        <v>58</v>
      </c>
      <c r="T9" s="83">
        <v>1.7969999999999999</v>
      </c>
      <c r="U9" s="7">
        <v>0.11700000000000001</v>
      </c>
      <c r="V9" s="7">
        <v>27069</v>
      </c>
      <c r="W9" s="7">
        <v>100</v>
      </c>
      <c r="X9" s="7">
        <v>20</v>
      </c>
      <c r="Y9" s="7"/>
      <c r="Z9" s="7"/>
      <c r="AA9" s="7"/>
      <c r="AB9" s="7">
        <v>1.7769999999999999</v>
      </c>
      <c r="AC9" s="7">
        <v>0.10299999999999999</v>
      </c>
      <c r="AD9" s="7">
        <v>84.1</v>
      </c>
      <c r="AE9" s="7">
        <v>1.7769999999999999</v>
      </c>
      <c r="AF9" s="7">
        <v>1.7769999999999999</v>
      </c>
      <c r="AG9" s="7">
        <v>1.9970000000000001</v>
      </c>
    </row>
    <row r="10" spans="1:33" s="71" customFormat="1" ht="12.75" customHeight="1">
      <c r="A10" s="63"/>
      <c r="B10" s="64"/>
      <c r="C10" s="64"/>
      <c r="D10" s="65"/>
      <c r="E10" s="64" t="s">
        <v>59</v>
      </c>
      <c r="F10" s="66"/>
      <c r="G10" s="67"/>
      <c r="H10" s="66"/>
      <c r="I10" s="67"/>
      <c r="J10" s="67"/>
      <c r="K10" s="68"/>
      <c r="L10" s="67" t="s">
        <v>60</v>
      </c>
      <c r="M10" s="69" t="s">
        <v>61</v>
      </c>
      <c r="N10" s="70">
        <f>(57.5+10.8+10.6+7.6)/(100-0.1)</f>
        <v>0.86586586586586567</v>
      </c>
      <c r="O10" s="71">
        <v>0.45</v>
      </c>
      <c r="P10" s="71">
        <v>40.53</v>
      </c>
      <c r="Q10" s="71" t="s">
        <v>52</v>
      </c>
      <c r="R10" s="71" t="s">
        <v>53</v>
      </c>
      <c r="S10" s="71" t="s">
        <v>62</v>
      </c>
      <c r="T10" s="83">
        <v>1.6970000000000001</v>
      </c>
      <c r="U10" s="67">
        <v>9.0999999999999998E-2</v>
      </c>
      <c r="V10" s="67">
        <v>32125</v>
      </c>
      <c r="W10" s="67">
        <v>100</v>
      </c>
      <c r="X10" s="67">
        <v>20.399999999999999</v>
      </c>
      <c r="Y10" s="67">
        <v>8527</v>
      </c>
      <c r="Z10" s="67">
        <v>96</v>
      </c>
      <c r="AA10" s="67"/>
      <c r="AB10" s="67">
        <v>1.728</v>
      </c>
      <c r="AC10" s="67">
        <v>7.8E-2</v>
      </c>
      <c r="AD10" s="67">
        <v>83.6</v>
      </c>
      <c r="AE10" s="67">
        <v>1.728</v>
      </c>
      <c r="AF10" s="67">
        <v>1.728</v>
      </c>
      <c r="AG10" s="67">
        <v>1.962</v>
      </c>
    </row>
    <row r="11" spans="1:33" ht="12.75" customHeight="1">
      <c r="A11" s="3" t="s">
        <v>33</v>
      </c>
      <c r="B11" s="12" t="s">
        <v>63</v>
      </c>
      <c r="C11" s="12" t="s">
        <v>63</v>
      </c>
      <c r="D11" s="4" t="s">
        <v>64</v>
      </c>
      <c r="E11" s="12" t="s">
        <v>63</v>
      </c>
      <c r="F11" s="4" t="s">
        <v>42</v>
      </c>
      <c r="G11" s="7"/>
      <c r="H11" s="4" t="s">
        <v>43</v>
      </c>
      <c r="I11" s="7"/>
      <c r="J11" s="7"/>
      <c r="K11" s="5" t="s">
        <v>65</v>
      </c>
      <c r="L11" s="7" t="s">
        <v>45</v>
      </c>
      <c r="M11" s="7"/>
      <c r="N11" s="7"/>
      <c r="O11" s="7"/>
      <c r="P11" s="7"/>
      <c r="Q11" s="6"/>
      <c r="R11" s="7"/>
      <c r="S11" s="7"/>
      <c r="T11" s="83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s="71" customFormat="1" ht="12.75" customHeight="1">
      <c r="A12" s="63" t="s">
        <v>33</v>
      </c>
      <c r="B12" s="64" t="s">
        <v>66</v>
      </c>
      <c r="C12" s="64" t="s">
        <v>66</v>
      </c>
      <c r="D12" s="72" t="s">
        <v>64</v>
      </c>
      <c r="E12" s="64" t="s">
        <v>66</v>
      </c>
      <c r="F12" s="72" t="s">
        <v>42</v>
      </c>
      <c r="G12" s="67"/>
      <c r="H12" s="72" t="s">
        <v>43</v>
      </c>
      <c r="I12" s="67"/>
      <c r="J12" s="67"/>
      <c r="K12" s="68" t="s">
        <v>65</v>
      </c>
      <c r="L12" s="67" t="s">
        <v>67</v>
      </c>
      <c r="M12" s="67" t="s">
        <v>68</v>
      </c>
      <c r="N12" s="70">
        <f>17.7/(100-14.5)</f>
        <v>0.20701754385964913</v>
      </c>
      <c r="O12" s="67">
        <v>0.2</v>
      </c>
      <c r="P12" s="67">
        <v>25.51</v>
      </c>
      <c r="Q12" s="73"/>
      <c r="R12" s="67" t="s">
        <v>53</v>
      </c>
      <c r="S12" s="67" t="s">
        <v>69</v>
      </c>
      <c r="T12" s="83">
        <v>2.0910000000000002</v>
      </c>
      <c r="U12" s="67">
        <v>0.1</v>
      </c>
      <c r="V12" s="67">
        <v>16654</v>
      </c>
      <c r="W12" s="67">
        <v>96.2</v>
      </c>
      <c r="X12" s="67">
        <v>20.3</v>
      </c>
      <c r="Y12" s="67">
        <v>4430</v>
      </c>
      <c r="Z12" s="67">
        <v>67</v>
      </c>
      <c r="AA12" s="67"/>
      <c r="AB12" s="67">
        <v>1.901</v>
      </c>
      <c r="AC12" s="67">
        <v>0.10199999999999999</v>
      </c>
      <c r="AD12" s="67">
        <v>74.5</v>
      </c>
      <c r="AE12" s="67">
        <v>1.9</v>
      </c>
      <c r="AF12" s="67">
        <v>1.9</v>
      </c>
      <c r="AG12" s="67">
        <v>2.2429999999999999</v>
      </c>
    </row>
    <row r="13" spans="1:33" ht="12.75" customHeight="1">
      <c r="A13" s="3" t="s">
        <v>33</v>
      </c>
      <c r="B13" s="12" t="s">
        <v>70</v>
      </c>
      <c r="C13" s="12" t="s">
        <v>70</v>
      </c>
      <c r="D13" s="8" t="s">
        <v>47</v>
      </c>
      <c r="E13" s="12" t="s">
        <v>70</v>
      </c>
      <c r="F13" s="9" t="s">
        <v>71</v>
      </c>
      <c r="G13" s="7"/>
      <c r="H13" s="9" t="s">
        <v>49</v>
      </c>
      <c r="I13" s="7"/>
      <c r="J13" s="7"/>
      <c r="K13" s="5" t="s">
        <v>44</v>
      </c>
      <c r="L13" s="13" t="s">
        <v>72</v>
      </c>
      <c r="M13" s="7"/>
      <c r="N13" s="7"/>
      <c r="O13" s="7"/>
      <c r="P13" s="7"/>
      <c r="Q13" s="6"/>
      <c r="R13" s="7"/>
      <c r="S13" s="7"/>
      <c r="T13" s="83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3" ht="12.75" customHeight="1">
      <c r="A14" s="3" t="s">
        <v>33</v>
      </c>
      <c r="B14" s="12" t="s">
        <v>73</v>
      </c>
      <c r="C14" s="12" t="s">
        <v>73</v>
      </c>
      <c r="D14" s="4" t="s">
        <v>64</v>
      </c>
      <c r="E14" s="12" t="s">
        <v>73</v>
      </c>
      <c r="F14" s="4" t="s">
        <v>42</v>
      </c>
      <c r="G14" s="7"/>
      <c r="H14" s="4" t="s">
        <v>43</v>
      </c>
      <c r="I14" s="7"/>
      <c r="J14" s="7"/>
      <c r="K14" s="5" t="s">
        <v>44</v>
      </c>
      <c r="L14" s="7" t="s">
        <v>45</v>
      </c>
      <c r="M14" s="7"/>
      <c r="N14" s="7"/>
      <c r="O14" s="7"/>
      <c r="P14" s="7"/>
      <c r="Q14" s="6"/>
      <c r="R14" s="7"/>
      <c r="S14" s="7"/>
      <c r="T14" s="83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ht="12.75" customHeight="1">
      <c r="A15" s="3" t="s">
        <v>33</v>
      </c>
      <c r="B15" s="12" t="s">
        <v>74</v>
      </c>
      <c r="C15" s="12" t="s">
        <v>74</v>
      </c>
      <c r="D15" s="4" t="s">
        <v>64</v>
      </c>
      <c r="E15" s="12" t="s">
        <v>74</v>
      </c>
      <c r="F15" s="4" t="s">
        <v>42</v>
      </c>
      <c r="G15" s="7"/>
      <c r="H15" s="4" t="s">
        <v>43</v>
      </c>
      <c r="I15" s="7"/>
      <c r="J15" s="7"/>
      <c r="K15" s="5" t="s">
        <v>44</v>
      </c>
      <c r="L15" s="7" t="s">
        <v>75</v>
      </c>
      <c r="M15" s="7" t="s">
        <v>76</v>
      </c>
      <c r="N15" s="7"/>
      <c r="O15" s="7"/>
      <c r="P15" s="7"/>
      <c r="Q15" s="6"/>
      <c r="R15" s="7"/>
      <c r="S15" s="7"/>
      <c r="T15" s="83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ht="12.75" customHeight="1">
      <c r="A16" s="3" t="s">
        <v>33</v>
      </c>
      <c r="B16" s="12" t="s">
        <v>77</v>
      </c>
      <c r="C16" s="12" t="s">
        <v>77</v>
      </c>
      <c r="D16" s="4" t="s">
        <v>64</v>
      </c>
      <c r="E16" s="12" t="s">
        <v>77</v>
      </c>
      <c r="F16" s="4" t="s">
        <v>42</v>
      </c>
      <c r="G16" s="7"/>
      <c r="H16" s="4" t="s">
        <v>43</v>
      </c>
      <c r="I16" s="7"/>
      <c r="J16" s="7"/>
      <c r="K16" s="5" t="s">
        <v>65</v>
      </c>
      <c r="L16" s="7" t="s">
        <v>45</v>
      </c>
      <c r="M16" s="7"/>
      <c r="N16" s="7"/>
      <c r="O16" s="7"/>
      <c r="P16" s="7"/>
      <c r="Q16" s="6"/>
      <c r="R16" s="7"/>
      <c r="S16" s="7"/>
      <c r="T16" s="83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s="71" customFormat="1" ht="12.75" customHeight="1">
      <c r="A17" s="63" t="s">
        <v>33</v>
      </c>
      <c r="B17" s="64" t="s">
        <v>78</v>
      </c>
      <c r="C17" s="64" t="s">
        <v>78</v>
      </c>
      <c r="D17" s="65" t="s">
        <v>47</v>
      </c>
      <c r="E17" s="64" t="s">
        <v>78</v>
      </c>
      <c r="F17" s="66" t="s">
        <v>48</v>
      </c>
      <c r="G17" s="67"/>
      <c r="H17" s="66" t="s">
        <v>49</v>
      </c>
      <c r="I17" s="67"/>
      <c r="J17" s="67"/>
      <c r="K17" s="68" t="s">
        <v>79</v>
      </c>
      <c r="L17" s="67" t="s">
        <v>80</v>
      </c>
      <c r="M17" s="67" t="s">
        <v>81</v>
      </c>
      <c r="N17" s="70">
        <f>(66.6+15)/(100-0.1)</f>
        <v>0.81681681681681673</v>
      </c>
      <c r="O17" s="67">
        <v>0.55000000000000004</v>
      </c>
      <c r="P17" s="67">
        <v>38.11</v>
      </c>
      <c r="Q17" s="73" t="s">
        <v>52</v>
      </c>
      <c r="R17" s="67" t="s">
        <v>53</v>
      </c>
      <c r="S17" s="67" t="s">
        <v>82</v>
      </c>
      <c r="T17" s="83">
        <v>1.798</v>
      </c>
      <c r="U17" s="67">
        <v>0.107</v>
      </c>
      <c r="V17" s="67">
        <v>27113</v>
      </c>
      <c r="W17" s="67">
        <v>100</v>
      </c>
      <c r="X17" s="67">
        <v>19.399999999999999</v>
      </c>
      <c r="Y17" s="67">
        <v>7587</v>
      </c>
      <c r="Z17" s="67">
        <v>89</v>
      </c>
      <c r="AA17" s="67"/>
      <c r="AB17" s="67">
        <v>1.7869999999999999</v>
      </c>
      <c r="AC17" s="67">
        <v>9.2999999999999999E-2</v>
      </c>
      <c r="AD17" s="67">
        <v>82.9</v>
      </c>
      <c r="AE17" s="71">
        <v>1.778</v>
      </c>
      <c r="AF17" s="67">
        <v>1.778</v>
      </c>
      <c r="AG17" s="67">
        <v>2.0630000000000002</v>
      </c>
    </row>
    <row r="18" spans="1:33" ht="12.75" customHeight="1">
      <c r="A18" s="3"/>
      <c r="B18" s="12"/>
      <c r="C18" s="12"/>
      <c r="D18" s="8"/>
      <c r="E18" s="12" t="s">
        <v>83</v>
      </c>
      <c r="F18" s="9"/>
      <c r="G18" s="7"/>
      <c r="H18" s="9"/>
      <c r="I18" s="7"/>
      <c r="J18" s="7"/>
      <c r="K18" s="5"/>
      <c r="L18" s="10" t="s">
        <v>80</v>
      </c>
      <c r="M18" s="7" t="s">
        <v>81</v>
      </c>
      <c r="N18" s="17">
        <f>(51.7+18.2+14.7)/(100-0.1)</f>
        <v>0.84684684684684686</v>
      </c>
      <c r="O18" s="7">
        <v>0.4</v>
      </c>
      <c r="P18" s="7">
        <v>8.5399999999999991</v>
      </c>
      <c r="Q18" s="6" t="s">
        <v>52</v>
      </c>
      <c r="R18" s="7" t="s">
        <v>53</v>
      </c>
      <c r="S18" t="s">
        <v>84</v>
      </c>
      <c r="T18" s="83">
        <v>1.9119999999999999</v>
      </c>
      <c r="U18" s="7">
        <v>0.24299999999999999</v>
      </c>
      <c r="V18" s="7">
        <v>22571</v>
      </c>
      <c r="W18" s="7">
        <v>99.8</v>
      </c>
      <c r="X18" s="7">
        <v>19.7</v>
      </c>
      <c r="Y18" s="7"/>
      <c r="Z18" s="7"/>
      <c r="AA18" s="7"/>
      <c r="AB18" s="7">
        <v>1.887</v>
      </c>
      <c r="AC18" s="7">
        <v>0.21299999999999999</v>
      </c>
      <c r="AD18" s="7">
        <v>80.5</v>
      </c>
      <c r="AE18" s="7">
        <v>1.887</v>
      </c>
      <c r="AF18" s="7">
        <v>1.887</v>
      </c>
      <c r="AG18" s="7">
        <v>2.2010000000000001</v>
      </c>
    </row>
    <row r="19" spans="1:33" ht="12.75" customHeight="1">
      <c r="A19" s="3" t="s">
        <v>33</v>
      </c>
      <c r="B19" s="12" t="s">
        <v>85</v>
      </c>
      <c r="C19" s="12" t="s">
        <v>85</v>
      </c>
      <c r="D19" s="4" t="s">
        <v>64</v>
      </c>
      <c r="E19" s="12" t="s">
        <v>85</v>
      </c>
      <c r="F19" s="4" t="s">
        <v>42</v>
      </c>
      <c r="G19" s="7"/>
      <c r="H19" s="4" t="s">
        <v>43</v>
      </c>
      <c r="I19" s="7"/>
      <c r="J19" s="7"/>
      <c r="K19" s="5" t="s">
        <v>79</v>
      </c>
      <c r="L19" s="7" t="s">
        <v>45</v>
      </c>
      <c r="M19" s="7"/>
      <c r="N19" s="7"/>
      <c r="O19" s="7"/>
      <c r="P19" s="7"/>
      <c r="Q19" s="6"/>
      <c r="R19" s="7"/>
      <c r="S19" s="7"/>
      <c r="T19" s="83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ht="12.75" customHeight="1">
      <c r="A20" s="3" t="s">
        <v>33</v>
      </c>
      <c r="B20" s="12" t="s">
        <v>86</v>
      </c>
      <c r="C20" s="12" t="s">
        <v>86</v>
      </c>
      <c r="D20" s="4" t="s">
        <v>64</v>
      </c>
      <c r="E20" s="12" t="s">
        <v>86</v>
      </c>
      <c r="F20" s="4" t="s">
        <v>42</v>
      </c>
      <c r="G20" s="7"/>
      <c r="H20" s="4" t="s">
        <v>43</v>
      </c>
      <c r="I20" s="7"/>
      <c r="J20" s="7"/>
      <c r="K20" s="5" t="s">
        <v>79</v>
      </c>
      <c r="L20" s="7" t="s">
        <v>87</v>
      </c>
      <c r="M20" s="7"/>
      <c r="N20" s="7"/>
      <c r="O20" s="7"/>
      <c r="P20" s="7"/>
      <c r="Q20" s="6"/>
      <c r="R20" s="7"/>
      <c r="S20" s="7"/>
      <c r="T20" s="83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ht="12.75" customHeight="1">
      <c r="A21" s="3" t="s">
        <v>33</v>
      </c>
      <c r="B21" s="12" t="s">
        <v>88</v>
      </c>
      <c r="C21" s="12" t="s">
        <v>88</v>
      </c>
      <c r="D21" s="4" t="s">
        <v>64</v>
      </c>
      <c r="E21" s="12" t="s">
        <v>88</v>
      </c>
      <c r="F21" s="4" t="s">
        <v>42</v>
      </c>
      <c r="G21" s="7"/>
      <c r="H21" s="4" t="s">
        <v>43</v>
      </c>
      <c r="I21" s="7"/>
      <c r="J21" s="7"/>
      <c r="K21" s="5" t="s">
        <v>79</v>
      </c>
      <c r="L21" s="7" t="s">
        <v>75</v>
      </c>
      <c r="M21" s="7"/>
      <c r="N21" s="7"/>
      <c r="O21" s="7"/>
      <c r="P21" s="7"/>
      <c r="Q21" s="6"/>
      <c r="R21" s="7"/>
      <c r="S21" s="7"/>
      <c r="T21" s="83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ht="12.75" customHeight="1">
      <c r="A22" s="3" t="s">
        <v>33</v>
      </c>
      <c r="B22" s="12" t="s">
        <v>89</v>
      </c>
      <c r="C22" s="12" t="s">
        <v>89</v>
      </c>
      <c r="D22" s="7" t="s">
        <v>64</v>
      </c>
      <c r="E22" s="12" t="s">
        <v>89</v>
      </c>
      <c r="F22" s="9" t="s">
        <v>42</v>
      </c>
      <c r="G22" s="7"/>
      <c r="H22" s="9" t="s">
        <v>43</v>
      </c>
      <c r="I22" s="7"/>
      <c r="J22" s="7"/>
      <c r="K22" s="5" t="s">
        <v>79</v>
      </c>
      <c r="L22" s="7" t="s">
        <v>90</v>
      </c>
      <c r="M22" s="7"/>
      <c r="N22" s="7"/>
      <c r="O22" s="7"/>
      <c r="P22" s="7"/>
      <c r="Q22" s="7"/>
      <c r="R22" s="7"/>
      <c r="S22" s="7"/>
      <c r="T22" s="83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ht="12.75" customHeight="1">
      <c r="A23" s="3" t="s">
        <v>33</v>
      </c>
      <c r="B23" s="12" t="s">
        <v>91</v>
      </c>
      <c r="C23" s="12" t="s">
        <v>91</v>
      </c>
      <c r="D23" s="4" t="s">
        <v>64</v>
      </c>
      <c r="E23" s="12" t="s">
        <v>91</v>
      </c>
      <c r="F23" s="4" t="s">
        <v>42</v>
      </c>
      <c r="G23" s="7"/>
      <c r="H23" s="4" t="s">
        <v>43</v>
      </c>
      <c r="I23" s="7"/>
      <c r="J23" s="7"/>
      <c r="K23" s="5" t="s">
        <v>79</v>
      </c>
      <c r="L23" s="7" t="s">
        <v>92</v>
      </c>
      <c r="M23" s="7"/>
      <c r="N23" s="7"/>
      <c r="O23" s="7"/>
      <c r="P23" s="7"/>
      <c r="Q23" s="7"/>
      <c r="R23" s="7"/>
      <c r="S23" s="7"/>
      <c r="T23" s="83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ht="12.75" customHeight="1">
      <c r="A24" s="3" t="s">
        <v>33</v>
      </c>
      <c r="B24" s="12" t="s">
        <v>93</v>
      </c>
      <c r="C24" s="12" t="s">
        <v>93</v>
      </c>
      <c r="D24" s="15" t="s">
        <v>94</v>
      </c>
      <c r="E24" s="12" t="s">
        <v>93</v>
      </c>
      <c r="F24" s="4" t="s">
        <v>95</v>
      </c>
      <c r="G24" s="7"/>
      <c r="H24" s="4" t="s">
        <v>96</v>
      </c>
      <c r="I24" s="7"/>
      <c r="J24" s="7"/>
      <c r="K24" s="5" t="s">
        <v>79</v>
      </c>
      <c r="L24" s="7" t="s">
        <v>45</v>
      </c>
      <c r="M24" s="7"/>
      <c r="N24" s="7"/>
      <c r="O24" s="7"/>
      <c r="P24" s="7"/>
      <c r="Q24" s="7"/>
      <c r="R24" s="7"/>
      <c r="S24" s="7"/>
      <c r="T24" s="83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ht="12.75" customHeight="1">
      <c r="A25" s="3" t="s">
        <v>33</v>
      </c>
      <c r="B25" s="12" t="s">
        <v>97</v>
      </c>
      <c r="C25" s="12" t="s">
        <v>97</v>
      </c>
      <c r="D25" s="15" t="s">
        <v>98</v>
      </c>
      <c r="E25" s="12" t="s">
        <v>97</v>
      </c>
      <c r="F25" s="4" t="s">
        <v>95</v>
      </c>
      <c r="G25" s="7"/>
      <c r="H25" s="4" t="s">
        <v>96</v>
      </c>
      <c r="I25" s="7"/>
      <c r="J25" s="7"/>
      <c r="K25" s="5" t="s">
        <v>79</v>
      </c>
      <c r="L25" s="7" t="s">
        <v>99</v>
      </c>
      <c r="M25" s="7"/>
      <c r="N25" s="7"/>
      <c r="O25" s="7"/>
      <c r="P25" s="7"/>
      <c r="Q25" s="7"/>
      <c r="R25" s="7"/>
      <c r="S25" s="7"/>
      <c r="T25" s="83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ht="12.75" customHeight="1">
      <c r="A26" s="3" t="s">
        <v>33</v>
      </c>
      <c r="B26" s="12" t="s">
        <v>100</v>
      </c>
      <c r="C26" s="12" t="s">
        <v>100</v>
      </c>
      <c r="D26" s="15" t="s">
        <v>98</v>
      </c>
      <c r="E26" s="12" t="s">
        <v>100</v>
      </c>
      <c r="F26" s="4" t="s">
        <v>95</v>
      </c>
      <c r="G26" s="7"/>
      <c r="H26" s="4" t="s">
        <v>96</v>
      </c>
      <c r="I26" s="7"/>
      <c r="J26" s="7"/>
      <c r="K26" s="5" t="s">
        <v>79</v>
      </c>
      <c r="L26" s="7" t="s">
        <v>45</v>
      </c>
      <c r="M26" s="7"/>
      <c r="N26" s="7"/>
      <c r="O26" s="7"/>
      <c r="P26" s="7"/>
      <c r="Q26" s="7"/>
      <c r="R26" s="7"/>
      <c r="S26" s="7"/>
      <c r="T26" s="83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ht="12.75" customHeight="1">
      <c r="A27" s="3" t="s">
        <v>33</v>
      </c>
      <c r="B27" s="12" t="s">
        <v>101</v>
      </c>
      <c r="C27" s="12" t="s">
        <v>101</v>
      </c>
      <c r="D27" s="15" t="s">
        <v>98</v>
      </c>
      <c r="E27" s="12" t="s">
        <v>101</v>
      </c>
      <c r="F27" s="4" t="s">
        <v>95</v>
      </c>
      <c r="G27" s="7"/>
      <c r="H27" s="4" t="s">
        <v>96</v>
      </c>
      <c r="I27" s="7"/>
      <c r="J27" s="7"/>
      <c r="K27" s="5" t="s">
        <v>79</v>
      </c>
      <c r="L27" s="10" t="s">
        <v>102</v>
      </c>
      <c r="M27" s="7" t="s">
        <v>103</v>
      </c>
      <c r="N27" s="17">
        <f>(60.9+15.4)/(100-0.1)</f>
        <v>0.76376376376376365</v>
      </c>
      <c r="O27" s="7">
        <v>0.25</v>
      </c>
      <c r="P27" s="7">
        <v>29.45</v>
      </c>
      <c r="Q27" s="6" t="s">
        <v>52</v>
      </c>
      <c r="R27" s="7" t="s">
        <v>53</v>
      </c>
      <c r="S27" s="6" t="s">
        <v>104</v>
      </c>
      <c r="T27" s="83">
        <v>2.1309999999999998</v>
      </c>
      <c r="U27" s="7">
        <v>9.8000000000000004E-2</v>
      </c>
      <c r="V27" s="7">
        <v>15832</v>
      </c>
      <c r="W27" s="7">
        <v>99.5</v>
      </c>
      <c r="X27" s="7">
        <v>17.600000000000001</v>
      </c>
      <c r="Y27" s="7"/>
      <c r="Z27" s="7"/>
      <c r="AA27" s="7"/>
      <c r="AB27" s="7">
        <v>2.0880000000000001</v>
      </c>
      <c r="AC27" s="7">
        <v>0.09</v>
      </c>
      <c r="AD27" s="7">
        <v>86.2</v>
      </c>
      <c r="AE27" s="7">
        <v>2.2069999999999999</v>
      </c>
      <c r="AF27" s="7">
        <v>2.2069999999999999</v>
      </c>
      <c r="AG27" s="7">
        <v>2.0289999999999999</v>
      </c>
    </row>
    <row r="28" spans="1:33" s="71" customFormat="1" ht="12.75" customHeight="1">
      <c r="A28" s="63"/>
      <c r="B28" s="64"/>
      <c r="C28" s="64"/>
      <c r="D28" s="74"/>
      <c r="E28" s="64" t="s">
        <v>105</v>
      </c>
      <c r="F28" s="72"/>
      <c r="G28" s="67"/>
      <c r="H28" s="72"/>
      <c r="I28" s="67"/>
      <c r="J28" s="67"/>
      <c r="K28" s="68"/>
      <c r="L28" s="67" t="s">
        <v>106</v>
      </c>
      <c r="M28" s="67" t="s">
        <v>103</v>
      </c>
      <c r="N28" s="70">
        <f>(33.8+22.5+5.4)/(100-0.2)</f>
        <v>0.61823647294589179</v>
      </c>
      <c r="O28" s="67">
        <v>0.2</v>
      </c>
      <c r="P28" s="67">
        <v>17.5</v>
      </c>
      <c r="Q28" s="73"/>
      <c r="R28" s="67" t="s">
        <v>53</v>
      </c>
      <c r="S28" s="73" t="s">
        <v>107</v>
      </c>
      <c r="T28" s="83">
        <v>1.718</v>
      </c>
      <c r="U28" s="67">
        <v>0.14899999999999999</v>
      </c>
      <c r="V28" s="67">
        <v>30519</v>
      </c>
      <c r="W28" s="67">
        <v>99.3</v>
      </c>
      <c r="X28" s="67">
        <v>16.8</v>
      </c>
      <c r="Y28" s="67">
        <v>5898.48</v>
      </c>
      <c r="Z28" s="67">
        <v>79</v>
      </c>
      <c r="AA28" s="67"/>
      <c r="AB28" s="67">
        <v>1.7030000000000001</v>
      </c>
      <c r="AC28" s="67">
        <v>0.13900000000000001</v>
      </c>
      <c r="AD28" s="67">
        <v>81.400000000000006</v>
      </c>
      <c r="AE28" s="67">
        <v>1.7030000000000001</v>
      </c>
      <c r="AF28" s="67">
        <v>1.7030000000000001</v>
      </c>
      <c r="AG28" s="67">
        <v>1.9790000000000001</v>
      </c>
    </row>
    <row r="29" spans="1:33" ht="12.75" customHeight="1">
      <c r="A29" s="3" t="s">
        <v>33</v>
      </c>
      <c r="B29" s="12" t="s">
        <v>108</v>
      </c>
      <c r="C29" s="12" t="s">
        <v>108</v>
      </c>
      <c r="D29" s="15" t="s">
        <v>98</v>
      </c>
      <c r="E29" s="12" t="s">
        <v>108</v>
      </c>
      <c r="F29" s="4" t="s">
        <v>109</v>
      </c>
      <c r="G29" s="7"/>
      <c r="H29" s="4" t="s">
        <v>110</v>
      </c>
      <c r="I29" s="7"/>
      <c r="J29" s="7"/>
      <c r="K29" s="5" t="s">
        <v>79</v>
      </c>
      <c r="L29" s="7" t="s">
        <v>99</v>
      </c>
      <c r="M29" s="7"/>
      <c r="N29" s="7"/>
      <c r="O29" s="7"/>
      <c r="P29" s="7"/>
      <c r="Q29" s="6"/>
      <c r="R29" s="7"/>
      <c r="S29" s="7"/>
      <c r="T29" s="83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1:33" ht="12.75" customHeight="1">
      <c r="A30" s="3" t="s">
        <v>33</v>
      </c>
      <c r="B30" s="12" t="s">
        <v>111</v>
      </c>
      <c r="C30" s="12" t="s">
        <v>111</v>
      </c>
      <c r="D30" s="15" t="s">
        <v>98</v>
      </c>
      <c r="E30" s="12" t="s">
        <v>111</v>
      </c>
      <c r="F30" s="4" t="s">
        <v>109</v>
      </c>
      <c r="G30" s="7"/>
      <c r="H30" s="4" t="s">
        <v>112</v>
      </c>
      <c r="I30" s="7"/>
      <c r="J30" s="7"/>
      <c r="K30" s="5" t="s">
        <v>79</v>
      </c>
      <c r="L30" s="7" t="s">
        <v>92</v>
      </c>
      <c r="M30" s="7"/>
      <c r="N30" s="7"/>
      <c r="O30" s="7"/>
      <c r="P30" s="7"/>
      <c r="Q30" s="6"/>
      <c r="R30" s="7"/>
      <c r="S30" s="7"/>
      <c r="T30" s="83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1:33" ht="12.75" customHeight="1">
      <c r="A31" s="3" t="s">
        <v>33</v>
      </c>
      <c r="B31" s="12" t="s">
        <v>113</v>
      </c>
      <c r="C31" s="12" t="s">
        <v>113</v>
      </c>
      <c r="D31" s="15" t="s">
        <v>114</v>
      </c>
      <c r="E31" s="12" t="s">
        <v>113</v>
      </c>
      <c r="F31" s="4" t="s">
        <v>48</v>
      </c>
      <c r="G31" s="7"/>
      <c r="H31" s="4" t="s">
        <v>115</v>
      </c>
      <c r="I31" s="7"/>
      <c r="J31" s="7"/>
      <c r="K31" s="5" t="s">
        <v>79</v>
      </c>
      <c r="L31" s="13" t="s">
        <v>116</v>
      </c>
      <c r="M31" s="7"/>
      <c r="N31" s="7"/>
      <c r="O31" s="7"/>
      <c r="P31" s="7"/>
      <c r="Q31" s="6"/>
      <c r="R31" s="7"/>
      <c r="S31" s="7"/>
      <c r="T31" s="83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1:33" ht="12.75" customHeight="1">
      <c r="A32" s="3" t="s">
        <v>33</v>
      </c>
      <c r="B32" s="12" t="s">
        <v>117</v>
      </c>
      <c r="C32" s="12" t="s">
        <v>117</v>
      </c>
      <c r="D32" s="15" t="s">
        <v>118</v>
      </c>
      <c r="E32" s="12" t="s">
        <v>117</v>
      </c>
      <c r="F32" s="4" t="s">
        <v>48</v>
      </c>
      <c r="G32" s="7"/>
      <c r="H32" s="4" t="s">
        <v>115</v>
      </c>
      <c r="I32" s="7"/>
      <c r="J32" s="7"/>
      <c r="K32" s="5" t="s">
        <v>79</v>
      </c>
      <c r="L32" s="7" t="s">
        <v>119</v>
      </c>
      <c r="M32" s="7"/>
      <c r="N32" s="7"/>
      <c r="O32" s="7"/>
      <c r="P32" s="7"/>
      <c r="Q32" s="6"/>
      <c r="R32" s="7"/>
      <c r="S32" s="7"/>
      <c r="T32" s="83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spans="1:33" ht="12.75" customHeight="1">
      <c r="A33" s="3" t="s">
        <v>33</v>
      </c>
      <c r="B33" s="12" t="s">
        <v>120</v>
      </c>
      <c r="C33" s="12" t="s">
        <v>120</v>
      </c>
      <c r="D33" s="15" t="s">
        <v>118</v>
      </c>
      <c r="E33" s="12" t="s">
        <v>120</v>
      </c>
      <c r="F33" s="4" t="s">
        <v>48</v>
      </c>
      <c r="G33" s="7"/>
      <c r="H33" s="4" t="s">
        <v>115</v>
      </c>
      <c r="I33" s="7"/>
      <c r="J33" s="7"/>
      <c r="K33" s="5" t="s">
        <v>79</v>
      </c>
      <c r="L33" s="13" t="s">
        <v>121</v>
      </c>
      <c r="M33" s="7"/>
      <c r="N33" s="7"/>
      <c r="O33" s="7"/>
      <c r="P33" s="7"/>
      <c r="Q33" s="6"/>
      <c r="R33" s="7"/>
      <c r="S33" s="7"/>
      <c r="T33" s="83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spans="1:33" ht="12.75" customHeight="1">
      <c r="A34" s="3" t="s">
        <v>33</v>
      </c>
      <c r="B34" s="12" t="s">
        <v>122</v>
      </c>
      <c r="C34" s="12" t="s">
        <v>122</v>
      </c>
      <c r="D34" s="15" t="s">
        <v>118</v>
      </c>
      <c r="E34" s="12" t="s">
        <v>122</v>
      </c>
      <c r="F34" s="4" t="s">
        <v>48</v>
      </c>
      <c r="G34" s="7"/>
      <c r="H34" s="4" t="s">
        <v>115</v>
      </c>
      <c r="I34" s="7"/>
      <c r="J34" s="7"/>
      <c r="K34" s="5" t="s">
        <v>79</v>
      </c>
      <c r="L34" s="7" t="s">
        <v>92</v>
      </c>
      <c r="M34" s="7"/>
      <c r="N34" s="7"/>
      <c r="O34" s="7"/>
      <c r="P34" s="7"/>
      <c r="Q34" s="6"/>
      <c r="R34" s="7"/>
      <c r="S34" s="7"/>
      <c r="T34" s="83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spans="1:33" ht="12.75" customHeight="1">
      <c r="A35" s="3" t="s">
        <v>33</v>
      </c>
      <c r="B35" s="12" t="s">
        <v>123</v>
      </c>
      <c r="C35" s="12" t="s">
        <v>123</v>
      </c>
      <c r="D35" s="15" t="s">
        <v>118</v>
      </c>
      <c r="E35" s="12" t="s">
        <v>123</v>
      </c>
      <c r="F35" s="4" t="s">
        <v>48</v>
      </c>
      <c r="G35" s="7"/>
      <c r="H35" s="4" t="s">
        <v>115</v>
      </c>
      <c r="I35" s="7"/>
      <c r="J35" s="7"/>
      <c r="K35" s="5" t="s">
        <v>79</v>
      </c>
      <c r="L35" s="14" t="s">
        <v>124</v>
      </c>
      <c r="M35" s="7"/>
      <c r="N35" s="7"/>
      <c r="O35" s="7"/>
      <c r="P35" s="7"/>
      <c r="Q35" s="6"/>
      <c r="R35" s="7"/>
      <c r="S35" s="7"/>
      <c r="T35" s="83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spans="1:33" ht="12.75" customHeight="1">
      <c r="A36" s="3" t="s">
        <v>33</v>
      </c>
      <c r="B36" s="12" t="s">
        <v>125</v>
      </c>
      <c r="C36" s="12" t="s">
        <v>125</v>
      </c>
      <c r="D36" s="15" t="s">
        <v>118</v>
      </c>
      <c r="E36" s="12" t="s">
        <v>125</v>
      </c>
      <c r="F36" s="4" t="s">
        <v>48</v>
      </c>
      <c r="G36" s="7"/>
      <c r="H36" s="4" t="s">
        <v>115</v>
      </c>
      <c r="I36" s="7"/>
      <c r="J36" s="7"/>
      <c r="K36" s="5" t="s">
        <v>79</v>
      </c>
      <c r="L36" s="14" t="s">
        <v>124</v>
      </c>
      <c r="M36" s="7"/>
      <c r="N36" s="7"/>
      <c r="O36" s="7"/>
      <c r="P36" s="7"/>
      <c r="Q36" s="6"/>
      <c r="R36" s="7"/>
      <c r="S36" s="7"/>
      <c r="T36" s="83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ht="12.75" customHeight="1">
      <c r="A37" s="3" t="s">
        <v>33</v>
      </c>
      <c r="B37" s="12" t="s">
        <v>126</v>
      </c>
      <c r="C37" s="12" t="s">
        <v>126</v>
      </c>
      <c r="D37" s="15" t="s">
        <v>118</v>
      </c>
      <c r="E37" s="12" t="s">
        <v>126</v>
      </c>
      <c r="F37" s="4" t="s">
        <v>48</v>
      </c>
      <c r="G37" s="7"/>
      <c r="H37" s="4" t="s">
        <v>115</v>
      </c>
      <c r="I37" s="7"/>
      <c r="J37" s="7"/>
      <c r="K37" s="5" t="s">
        <v>79</v>
      </c>
      <c r="L37" s="14" t="s">
        <v>124</v>
      </c>
      <c r="M37" s="7"/>
      <c r="N37" s="7"/>
      <c r="O37" s="7"/>
      <c r="P37" s="7"/>
      <c r="Q37" s="6"/>
      <c r="R37" s="7"/>
      <c r="S37" s="7"/>
      <c r="T37" s="83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ht="12.75" customHeight="1">
      <c r="A38" s="3" t="s">
        <v>33</v>
      </c>
      <c r="B38" s="12" t="s">
        <v>127</v>
      </c>
      <c r="C38" s="12" t="s">
        <v>127</v>
      </c>
      <c r="D38" s="15" t="s">
        <v>118</v>
      </c>
      <c r="E38" s="12" t="s">
        <v>127</v>
      </c>
      <c r="F38" s="4" t="s">
        <v>48</v>
      </c>
      <c r="G38" s="7"/>
      <c r="H38" s="4" t="s">
        <v>115</v>
      </c>
      <c r="I38" s="7"/>
      <c r="J38" s="7"/>
      <c r="K38" s="5" t="s">
        <v>79</v>
      </c>
      <c r="L38" s="14" t="s">
        <v>124</v>
      </c>
      <c r="M38" s="7"/>
      <c r="N38" s="7"/>
      <c r="O38" s="7"/>
      <c r="P38" s="7"/>
      <c r="Q38" s="6"/>
      <c r="R38" s="7"/>
      <c r="S38" s="7"/>
      <c r="T38" s="83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ht="12.75" customHeight="1">
      <c r="A39" s="3" t="s">
        <v>33</v>
      </c>
      <c r="B39" s="12" t="s">
        <v>128</v>
      </c>
      <c r="C39" s="12" t="s">
        <v>128</v>
      </c>
      <c r="D39" s="15" t="s">
        <v>118</v>
      </c>
      <c r="E39" s="12" t="s">
        <v>128</v>
      </c>
      <c r="F39" s="4" t="s">
        <v>48</v>
      </c>
      <c r="G39" s="7"/>
      <c r="H39" s="4" t="s">
        <v>115</v>
      </c>
      <c r="I39" s="7"/>
      <c r="J39" s="7"/>
      <c r="K39" s="5" t="s">
        <v>79</v>
      </c>
      <c r="L39" s="7" t="s">
        <v>92</v>
      </c>
      <c r="M39" s="7"/>
      <c r="N39" s="7"/>
      <c r="O39" s="7"/>
      <c r="P39" s="7"/>
      <c r="Q39" s="6"/>
      <c r="R39" s="7"/>
      <c r="S39" s="7"/>
      <c r="T39" s="83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ht="12.75" customHeight="1">
      <c r="A40" s="3" t="s">
        <v>33</v>
      </c>
      <c r="B40" s="12" t="s">
        <v>129</v>
      </c>
      <c r="C40" s="12" t="s">
        <v>129</v>
      </c>
      <c r="D40" s="15" t="s">
        <v>118</v>
      </c>
      <c r="E40" s="12" t="s">
        <v>129</v>
      </c>
      <c r="F40" s="4" t="s">
        <v>48</v>
      </c>
      <c r="G40" s="7"/>
      <c r="H40" s="4" t="s">
        <v>115</v>
      </c>
      <c r="I40" s="7"/>
      <c r="J40" s="7"/>
      <c r="K40" s="5" t="s">
        <v>79</v>
      </c>
      <c r="L40" s="7" t="s">
        <v>130</v>
      </c>
      <c r="M40" s="7"/>
      <c r="N40" s="7"/>
      <c r="O40" s="7"/>
      <c r="P40" s="7"/>
      <c r="Q40" s="6"/>
      <c r="R40" s="7"/>
      <c r="S40" s="7"/>
      <c r="T40" s="83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spans="1:33" ht="12.75" customHeight="1">
      <c r="A41" s="3" t="s">
        <v>33</v>
      </c>
      <c r="B41" s="12" t="s">
        <v>131</v>
      </c>
      <c r="C41" s="12" t="s">
        <v>131</v>
      </c>
      <c r="D41" s="15" t="s">
        <v>118</v>
      </c>
      <c r="E41" s="12" t="s">
        <v>131</v>
      </c>
      <c r="F41" s="4" t="s">
        <v>48</v>
      </c>
      <c r="G41" s="7"/>
      <c r="H41" s="4" t="s">
        <v>115</v>
      </c>
      <c r="I41" s="7"/>
      <c r="J41" s="7"/>
      <c r="K41" s="5" t="s">
        <v>79</v>
      </c>
      <c r="L41" s="7" t="s">
        <v>92</v>
      </c>
      <c r="M41" s="7"/>
      <c r="N41" s="7"/>
      <c r="O41" s="7"/>
      <c r="P41" s="7"/>
      <c r="Q41" s="6"/>
      <c r="R41" s="7"/>
      <c r="S41" s="7"/>
      <c r="T41" s="83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ht="12.75" customHeight="1">
      <c r="A42" s="3" t="s">
        <v>33</v>
      </c>
      <c r="B42" s="12" t="s">
        <v>132</v>
      </c>
      <c r="C42" s="12" t="s">
        <v>132</v>
      </c>
      <c r="D42" s="15" t="s">
        <v>118</v>
      </c>
      <c r="E42" s="12" t="s">
        <v>132</v>
      </c>
      <c r="F42" s="4" t="s">
        <v>48</v>
      </c>
      <c r="G42" s="7"/>
      <c r="H42" s="4" t="s">
        <v>115</v>
      </c>
      <c r="I42" s="7"/>
      <c r="J42" s="7"/>
      <c r="K42" s="5" t="s">
        <v>79</v>
      </c>
      <c r="L42" s="7" t="s">
        <v>133</v>
      </c>
      <c r="N42" s="7"/>
      <c r="O42" s="7"/>
      <c r="P42" s="7"/>
      <c r="Q42" s="6"/>
      <c r="R42" s="7"/>
      <c r="S42" s="7"/>
      <c r="T42" s="83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 spans="1:33" ht="12.75" customHeight="1">
      <c r="A43" s="3" t="s">
        <v>33</v>
      </c>
      <c r="B43" s="12" t="s">
        <v>134</v>
      </c>
      <c r="C43" s="12" t="s">
        <v>134</v>
      </c>
      <c r="D43" s="15" t="s">
        <v>118</v>
      </c>
      <c r="E43" s="12" t="s">
        <v>134</v>
      </c>
      <c r="F43" s="4" t="s">
        <v>48</v>
      </c>
      <c r="G43" s="7"/>
      <c r="H43" s="4" t="s">
        <v>115</v>
      </c>
      <c r="I43" s="7"/>
      <c r="J43" s="7"/>
      <c r="K43" s="5" t="s">
        <v>79</v>
      </c>
      <c r="L43" s="7" t="s">
        <v>45</v>
      </c>
      <c r="M43" s="7"/>
      <c r="N43" s="7"/>
      <c r="O43" s="7"/>
      <c r="P43" s="7"/>
      <c r="Q43" s="6"/>
      <c r="R43" s="7"/>
      <c r="S43" s="7"/>
      <c r="T43" s="83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ht="12.75" customHeight="1">
      <c r="A44" s="3" t="s">
        <v>33</v>
      </c>
      <c r="B44" s="12" t="s">
        <v>135</v>
      </c>
      <c r="C44" s="12" t="s">
        <v>135</v>
      </c>
      <c r="D44" s="56" t="s">
        <v>136</v>
      </c>
      <c r="E44" s="12" t="s">
        <v>137</v>
      </c>
      <c r="F44" s="4" t="s">
        <v>138</v>
      </c>
      <c r="G44" s="7"/>
      <c r="H44" s="4" t="s">
        <v>49</v>
      </c>
      <c r="I44" s="7"/>
      <c r="J44" s="7"/>
      <c r="K44" s="5" t="s">
        <v>79</v>
      </c>
      <c r="L44" s="10" t="s">
        <v>139</v>
      </c>
      <c r="M44" s="7" t="s">
        <v>103</v>
      </c>
      <c r="N44" s="17">
        <f>(19.5+7.7+3.4+2.4)/(100-8)</f>
        <v>0.35869565217391303</v>
      </c>
      <c r="O44" s="7">
        <v>0.5</v>
      </c>
      <c r="P44" s="7">
        <v>13.44</v>
      </c>
      <c r="Q44" s="26" t="s">
        <v>52</v>
      </c>
      <c r="R44" s="7" t="s">
        <v>57</v>
      </c>
      <c r="S44" s="7" t="s">
        <v>140</v>
      </c>
      <c r="T44" s="83">
        <v>1.8069999999999999</v>
      </c>
      <c r="U44" s="7">
        <v>0.28199999999999997</v>
      </c>
      <c r="V44" s="7">
        <v>24506</v>
      </c>
      <c r="W44" s="7">
        <v>92.6</v>
      </c>
      <c r="X44" s="7">
        <v>15.5</v>
      </c>
      <c r="Y44" s="7"/>
      <c r="Z44" s="7"/>
      <c r="AA44" s="7"/>
      <c r="AB44" s="7">
        <v>1.7829999999999999</v>
      </c>
      <c r="AC44">
        <v>0.218</v>
      </c>
      <c r="AD44" s="7">
        <v>72</v>
      </c>
      <c r="AE44" s="7">
        <v>1.77</v>
      </c>
      <c r="AF44" s="7">
        <v>1.77</v>
      </c>
      <c r="AG44" s="7">
        <v>2.2210000000000001</v>
      </c>
    </row>
    <row r="45" spans="1:33" ht="12.75" customHeight="1">
      <c r="A45" s="3"/>
      <c r="B45" s="12"/>
      <c r="C45" s="12"/>
      <c r="D45" s="15"/>
      <c r="E45" s="12" t="s">
        <v>141</v>
      </c>
      <c r="F45" s="4"/>
      <c r="G45" s="7"/>
      <c r="H45" s="4"/>
      <c r="I45" s="7"/>
      <c r="J45" s="7"/>
      <c r="K45" s="5"/>
      <c r="L45" s="10" t="s">
        <v>142</v>
      </c>
      <c r="M45" s="7" t="s">
        <v>103</v>
      </c>
      <c r="N45" s="17">
        <f>(36.5+40.6)/(100-2.6)</f>
        <v>0.79158110882956867</v>
      </c>
      <c r="O45" s="7">
        <v>0.35</v>
      </c>
      <c r="P45" s="7">
        <v>16.36</v>
      </c>
      <c r="Q45" s="6" t="s">
        <v>52</v>
      </c>
      <c r="R45" s="7" t="s">
        <v>57</v>
      </c>
      <c r="S45" s="7" t="s">
        <v>143</v>
      </c>
      <c r="T45" s="83">
        <v>1.821</v>
      </c>
      <c r="U45" s="7">
        <v>0.156</v>
      </c>
      <c r="V45" s="7">
        <v>25214</v>
      </c>
      <c r="W45" s="7">
        <v>97.1</v>
      </c>
      <c r="X45" s="7">
        <v>20.9</v>
      </c>
      <c r="Y45" s="7"/>
      <c r="Z45" s="7"/>
      <c r="AA45" s="7"/>
      <c r="AB45" s="7">
        <v>1.7729999999999999</v>
      </c>
      <c r="AC45" s="7">
        <v>0.13800000000000001</v>
      </c>
      <c r="AD45" s="7">
        <v>73.7</v>
      </c>
      <c r="AE45" s="7">
        <v>1.758</v>
      </c>
      <c r="AF45" s="7">
        <v>1.758</v>
      </c>
      <c r="AG45" s="7">
        <v>2.2490000000000001</v>
      </c>
    </row>
    <row r="46" spans="1:33" s="71" customFormat="1" ht="12.75" customHeight="1">
      <c r="A46" s="63"/>
      <c r="B46" s="64"/>
      <c r="C46" s="64"/>
      <c r="D46" s="74"/>
      <c r="E46" s="64" t="s">
        <v>144</v>
      </c>
      <c r="F46" s="72"/>
      <c r="G46" s="67"/>
      <c r="H46" s="72"/>
      <c r="I46" s="67"/>
      <c r="J46" s="67"/>
      <c r="K46" s="68"/>
      <c r="L46" s="67" t="s">
        <v>145</v>
      </c>
      <c r="M46" s="67" t="s">
        <v>103</v>
      </c>
      <c r="N46" s="70">
        <f>(89.3)/(100-4.8)</f>
        <v>0.9380252100840335</v>
      </c>
      <c r="O46" s="67">
        <v>0.25</v>
      </c>
      <c r="P46" s="67">
        <v>26.93</v>
      </c>
      <c r="Q46" s="73" t="s">
        <v>52</v>
      </c>
      <c r="R46" s="67" t="s">
        <v>53</v>
      </c>
      <c r="S46" s="67" t="s">
        <v>146</v>
      </c>
      <c r="T46" s="83">
        <v>1.7070000000000001</v>
      </c>
      <c r="U46" s="67">
        <v>0.107</v>
      </c>
      <c r="V46" s="67">
        <v>29204</v>
      </c>
      <c r="W46" s="67">
        <v>93.1</v>
      </c>
      <c r="X46" s="67">
        <v>16.2</v>
      </c>
      <c r="Y46" s="67"/>
      <c r="Z46" s="67"/>
      <c r="AA46" s="67"/>
      <c r="AB46" s="71">
        <v>1.661</v>
      </c>
      <c r="AC46" s="67">
        <v>0.09</v>
      </c>
      <c r="AD46" s="67">
        <v>68.3</v>
      </c>
      <c r="AE46" s="67">
        <v>1.68</v>
      </c>
      <c r="AF46" s="67">
        <v>1.68</v>
      </c>
      <c r="AG46" s="67">
        <v>2.121</v>
      </c>
    </row>
    <row r="47" spans="1:33" ht="12.75" customHeight="1">
      <c r="A47" s="3"/>
      <c r="B47" s="12"/>
      <c r="C47" s="12"/>
      <c r="D47" s="15"/>
      <c r="E47" s="12" t="s">
        <v>147</v>
      </c>
      <c r="F47" s="4"/>
      <c r="G47" s="7"/>
      <c r="H47" s="4"/>
      <c r="I47" s="7"/>
      <c r="J47" s="7"/>
      <c r="K47" s="5"/>
      <c r="L47" s="10" t="s">
        <v>145</v>
      </c>
      <c r="M47" s="7" t="s">
        <v>103</v>
      </c>
      <c r="N47" s="17">
        <f>(75.7+12.1)/(100-1)</f>
        <v>0.88686868686868681</v>
      </c>
      <c r="O47" s="7">
        <v>0.4</v>
      </c>
      <c r="P47" s="7">
        <v>21.31</v>
      </c>
      <c r="Q47" s="26" t="s">
        <v>148</v>
      </c>
      <c r="R47" s="7" t="s">
        <v>57</v>
      </c>
      <c r="S47" s="7" t="s">
        <v>149</v>
      </c>
      <c r="T47" s="83">
        <v>1.7709999999999999</v>
      </c>
      <c r="U47" s="7">
        <v>0.153</v>
      </c>
      <c r="V47" s="7">
        <v>27818</v>
      </c>
      <c r="W47" s="7">
        <v>99.3</v>
      </c>
      <c r="X47" s="7">
        <v>18</v>
      </c>
      <c r="Y47" s="7"/>
      <c r="Z47" s="7"/>
      <c r="AA47" s="7"/>
      <c r="AB47" s="7">
        <v>1.7250000000000001</v>
      </c>
      <c r="AC47" s="7">
        <v>0.13200000000000001</v>
      </c>
      <c r="AD47" s="7">
        <v>78.3</v>
      </c>
      <c r="AE47" s="7">
        <v>1.722</v>
      </c>
      <c r="AF47" s="7">
        <v>1.722</v>
      </c>
      <c r="AG47" s="7">
        <v>2.0880000000000001</v>
      </c>
    </row>
    <row r="48" spans="1:33" ht="12.75" customHeight="1">
      <c r="A48" s="3"/>
      <c r="B48" s="12"/>
      <c r="C48" s="12"/>
      <c r="D48" s="15"/>
      <c r="E48" s="12"/>
      <c r="F48" s="4"/>
      <c r="G48" s="7"/>
      <c r="H48" s="4"/>
      <c r="I48" s="7"/>
      <c r="J48" s="7"/>
      <c r="K48" s="5"/>
      <c r="L48" s="10"/>
      <c r="M48" s="7"/>
      <c r="N48" s="17"/>
      <c r="O48" s="7"/>
      <c r="P48" s="7"/>
      <c r="Q48" s="26" t="s">
        <v>150</v>
      </c>
      <c r="R48" s="7"/>
      <c r="S48" s="7"/>
      <c r="T48" s="83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 spans="1:33" s="71" customFormat="1" ht="12.75" customHeight="1">
      <c r="A49" s="63"/>
      <c r="B49" s="64"/>
      <c r="C49" s="64"/>
      <c r="D49" s="74"/>
      <c r="E49" s="64" t="s">
        <v>151</v>
      </c>
      <c r="F49" s="72"/>
      <c r="G49" s="67"/>
      <c r="H49" s="72"/>
      <c r="I49" s="67"/>
      <c r="J49" s="67"/>
      <c r="K49" s="68"/>
      <c r="L49" s="67" t="s">
        <v>152</v>
      </c>
      <c r="M49" s="67" t="s">
        <v>103</v>
      </c>
      <c r="N49" s="70">
        <f>(83.6)/(100-0.7)</f>
        <v>0.84189325276938565</v>
      </c>
      <c r="O49" s="67">
        <v>0.3</v>
      </c>
      <c r="P49" s="67">
        <v>24.3</v>
      </c>
      <c r="Q49" s="73" t="s">
        <v>52</v>
      </c>
      <c r="R49" s="67" t="s">
        <v>57</v>
      </c>
      <c r="S49" s="67" t="s">
        <v>153</v>
      </c>
      <c r="T49" s="83">
        <v>1.6659999999999999</v>
      </c>
      <c r="U49" s="67">
        <v>0.123</v>
      </c>
      <c r="V49" s="67">
        <v>33371</v>
      </c>
      <c r="W49" s="67">
        <v>99.3</v>
      </c>
      <c r="X49" s="67">
        <v>17.5</v>
      </c>
      <c r="Y49" s="67">
        <v>7144</v>
      </c>
      <c r="Z49" s="67">
        <v>88</v>
      </c>
      <c r="AA49" s="67"/>
      <c r="AB49" s="67">
        <v>1.6339999999999999</v>
      </c>
      <c r="AC49" s="67">
        <v>0.107</v>
      </c>
      <c r="AD49" s="67">
        <v>79.099999999999994</v>
      </c>
      <c r="AE49" s="67">
        <v>1.633</v>
      </c>
      <c r="AF49" s="67">
        <v>1.633</v>
      </c>
      <c r="AG49" s="67">
        <v>1.954</v>
      </c>
    </row>
    <row r="50" spans="1:33" ht="12.75" customHeight="1">
      <c r="A50" s="3" t="s">
        <v>33</v>
      </c>
      <c r="B50" s="12" t="s">
        <v>154</v>
      </c>
      <c r="C50" s="12" t="s">
        <v>154</v>
      </c>
      <c r="D50" s="15" t="s">
        <v>47</v>
      </c>
      <c r="E50" s="12" t="s">
        <v>154</v>
      </c>
      <c r="F50" s="4" t="s">
        <v>138</v>
      </c>
      <c r="G50" s="7"/>
      <c r="H50" s="4" t="s">
        <v>49</v>
      </c>
      <c r="I50" s="7"/>
      <c r="J50" s="7"/>
      <c r="K50" s="5" t="s">
        <v>79</v>
      </c>
      <c r="L50" s="7" t="s">
        <v>133</v>
      </c>
      <c r="M50" s="7"/>
      <c r="N50" s="7"/>
      <c r="O50" s="7"/>
      <c r="P50" s="7"/>
      <c r="Q50" s="6"/>
      <c r="R50" s="7"/>
      <c r="S50" s="7"/>
      <c r="T50" s="83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s="71" customFormat="1" ht="12.75" customHeight="1">
      <c r="A51" s="63" t="s">
        <v>33</v>
      </c>
      <c r="B51" s="64" t="s">
        <v>155</v>
      </c>
      <c r="C51" s="64" t="s">
        <v>155</v>
      </c>
      <c r="D51" s="74" t="s">
        <v>47</v>
      </c>
      <c r="E51" s="64" t="s">
        <v>155</v>
      </c>
      <c r="F51" s="72" t="s">
        <v>138</v>
      </c>
      <c r="G51" s="67"/>
      <c r="H51" s="72" t="s">
        <v>49</v>
      </c>
      <c r="I51" s="67"/>
      <c r="J51" s="67"/>
      <c r="K51" s="68" t="s">
        <v>79</v>
      </c>
      <c r="L51" s="67" t="s">
        <v>156</v>
      </c>
      <c r="M51" s="75" t="s">
        <v>61</v>
      </c>
      <c r="N51" s="70">
        <f>(89.34)/(100-0.1)</f>
        <v>0.8942942942942943</v>
      </c>
      <c r="O51" s="67">
        <v>0.45</v>
      </c>
      <c r="P51" s="67">
        <v>26.32</v>
      </c>
      <c r="Q51" s="73" t="s">
        <v>52</v>
      </c>
      <c r="R51" s="67" t="s">
        <v>57</v>
      </c>
      <c r="S51" s="67" t="s">
        <v>157</v>
      </c>
      <c r="T51" s="83">
        <v>1.649</v>
      </c>
      <c r="U51" s="67">
        <v>0.11700000000000001</v>
      </c>
      <c r="V51" s="67">
        <v>35031</v>
      </c>
      <c r="W51" s="67">
        <v>99.9</v>
      </c>
      <c r="X51" s="67">
        <v>20.5</v>
      </c>
      <c r="Y51" s="67"/>
      <c r="Z51" s="67"/>
      <c r="AA51" s="67"/>
      <c r="AB51" s="67">
        <v>1.6439999999999999</v>
      </c>
      <c r="AC51" s="67">
        <v>9.9000000000000005E-2</v>
      </c>
      <c r="AD51" s="67">
        <v>80.400000000000006</v>
      </c>
      <c r="AE51" s="67">
        <v>1.643</v>
      </c>
      <c r="AF51" s="67">
        <v>1.643</v>
      </c>
      <c r="AG51" s="67">
        <v>1.9419999999999999</v>
      </c>
    </row>
    <row r="52" spans="1:33" ht="12.75" customHeight="1">
      <c r="A52" s="3"/>
      <c r="B52" s="12"/>
      <c r="C52" s="12"/>
      <c r="D52" s="15"/>
      <c r="E52" s="12" t="s">
        <v>158</v>
      </c>
      <c r="F52" s="4"/>
      <c r="G52" s="7"/>
      <c r="H52" s="4"/>
      <c r="I52" s="7"/>
      <c r="J52" s="7"/>
      <c r="K52" s="5"/>
      <c r="L52" s="31" t="s">
        <v>159</v>
      </c>
      <c r="M52" s="29" t="s">
        <v>160</v>
      </c>
      <c r="N52" s="60">
        <f>(84.8)/(100-0.5)</f>
        <v>0.8522613065326633</v>
      </c>
      <c r="O52" s="7">
        <v>0.35</v>
      </c>
      <c r="P52" s="7">
        <v>25.26</v>
      </c>
      <c r="Q52" s="6" t="s">
        <v>52</v>
      </c>
      <c r="R52" s="7" t="s">
        <v>57</v>
      </c>
      <c r="S52" s="7" t="s">
        <v>161</v>
      </c>
      <c r="T52" s="83">
        <v>1.8380000000000001</v>
      </c>
      <c r="U52" s="7">
        <v>0.11600000000000001</v>
      </c>
      <c r="V52" s="7">
        <v>25427</v>
      </c>
      <c r="W52" s="7">
        <v>99.9</v>
      </c>
      <c r="X52" s="7">
        <v>20.8</v>
      </c>
      <c r="Y52" s="7"/>
      <c r="Z52" s="7"/>
      <c r="AA52" s="7"/>
      <c r="AB52" s="7">
        <v>1.7849999999999999</v>
      </c>
      <c r="AC52" s="7">
        <v>0.107</v>
      </c>
      <c r="AD52" s="7">
        <v>82.2</v>
      </c>
      <c r="AE52">
        <v>1.806</v>
      </c>
      <c r="AF52" s="7">
        <v>1.806</v>
      </c>
      <c r="AG52" s="7">
        <v>2.0129999999999999</v>
      </c>
    </row>
    <row r="53" spans="1:33" ht="12.75" customHeight="1">
      <c r="A53" s="3"/>
      <c r="B53" s="12"/>
      <c r="C53" s="12"/>
      <c r="D53" s="15"/>
      <c r="E53" s="12" t="s">
        <v>162</v>
      </c>
      <c r="F53" s="4"/>
      <c r="G53" s="7"/>
      <c r="H53" s="4"/>
      <c r="I53" s="7"/>
      <c r="J53" s="7"/>
      <c r="K53" s="5"/>
      <c r="L53" s="10" t="s">
        <v>156</v>
      </c>
      <c r="M53" s="29" t="s">
        <v>103</v>
      </c>
      <c r="N53" s="17">
        <f>(99.1)/(100-0.1)</f>
        <v>0.99199199199199184</v>
      </c>
      <c r="O53" s="7">
        <v>0.25</v>
      </c>
      <c r="P53" s="7">
        <v>28.41</v>
      </c>
      <c r="Q53" s="6" t="s">
        <v>52</v>
      </c>
      <c r="R53" s="7" t="s">
        <v>53</v>
      </c>
      <c r="S53" s="7" t="s">
        <v>163</v>
      </c>
      <c r="T53" s="83">
        <v>1.6459999999999999</v>
      </c>
      <c r="U53" s="7">
        <v>0.107</v>
      </c>
      <c r="V53" s="7">
        <v>35267</v>
      </c>
      <c r="W53" s="7">
        <v>100</v>
      </c>
      <c r="X53" s="7">
        <v>18.5</v>
      </c>
      <c r="Y53" s="7"/>
      <c r="Z53" s="7"/>
      <c r="AA53" s="7"/>
      <c r="AB53" s="7">
        <v>1.621</v>
      </c>
      <c r="AC53" s="7">
        <v>0.09</v>
      </c>
      <c r="AD53" s="7">
        <v>77.2</v>
      </c>
      <c r="AE53" s="7">
        <v>1.6439999999999999</v>
      </c>
      <c r="AF53" s="7">
        <v>1.6439999999999999</v>
      </c>
      <c r="AG53" s="7">
        <v>1.946</v>
      </c>
    </row>
    <row r="54" spans="1:33" ht="12.75" customHeight="1">
      <c r="A54" s="3" t="s">
        <v>33</v>
      </c>
      <c r="B54" s="12" t="s">
        <v>164</v>
      </c>
      <c r="C54" s="12" t="s">
        <v>164</v>
      </c>
      <c r="D54" s="56" t="s">
        <v>47</v>
      </c>
      <c r="E54" s="12" t="s">
        <v>164</v>
      </c>
      <c r="F54" s="4" t="s">
        <v>71</v>
      </c>
      <c r="G54" s="7"/>
      <c r="H54" s="4" t="s">
        <v>49</v>
      </c>
      <c r="I54" s="7"/>
      <c r="J54" s="7"/>
      <c r="K54" s="5" t="s">
        <v>79</v>
      </c>
      <c r="L54" s="10" t="s">
        <v>165</v>
      </c>
      <c r="M54" s="7" t="s">
        <v>61</v>
      </c>
      <c r="N54" s="17">
        <f>(66.2+15.7)/(100-1.3)</f>
        <v>0.82978723404255328</v>
      </c>
      <c r="O54" s="7">
        <v>0.4</v>
      </c>
      <c r="P54" s="7">
        <v>16.489999999999998</v>
      </c>
      <c r="Q54" s="26"/>
      <c r="R54" s="7" t="s">
        <v>53</v>
      </c>
      <c r="S54" s="7" t="s">
        <v>166</v>
      </c>
      <c r="T54" s="83">
        <v>1.8520000000000001</v>
      </c>
      <c r="U54" s="7">
        <v>0.17899999999999999</v>
      </c>
      <c r="V54" s="7">
        <v>25112</v>
      </c>
      <c r="W54" s="7">
        <v>100</v>
      </c>
      <c r="X54" s="7">
        <v>19.7</v>
      </c>
      <c r="Y54" s="7"/>
      <c r="Z54" s="7"/>
      <c r="AA54" s="7"/>
      <c r="AB54" s="7">
        <v>1.8280000000000001</v>
      </c>
      <c r="AC54" s="7">
        <v>0.154</v>
      </c>
      <c r="AD54" s="7">
        <v>80.099999999999994</v>
      </c>
      <c r="AE54" s="7">
        <v>1.84</v>
      </c>
      <c r="AF54" s="7">
        <v>1.84</v>
      </c>
      <c r="AG54" s="7">
        <v>2.1320000000000001</v>
      </c>
    </row>
    <row r="55" spans="1:33" ht="12.75" customHeight="1">
      <c r="A55" s="3" t="s">
        <v>33</v>
      </c>
      <c r="B55" s="12" t="s">
        <v>167</v>
      </c>
      <c r="C55" s="12" t="s">
        <v>167</v>
      </c>
      <c r="D55" s="56" t="s">
        <v>47</v>
      </c>
      <c r="E55" s="12" t="s">
        <v>167</v>
      </c>
      <c r="F55" s="4" t="s">
        <v>71</v>
      </c>
      <c r="G55" s="7"/>
      <c r="H55" s="4" t="s">
        <v>49</v>
      </c>
      <c r="I55" s="7"/>
      <c r="J55" s="7"/>
      <c r="K55" s="5" t="s">
        <v>79</v>
      </c>
      <c r="L55" s="10" t="s">
        <v>159</v>
      </c>
      <c r="M55" s="7" t="s">
        <v>160</v>
      </c>
      <c r="N55" s="17">
        <f>(45.9+7.8+5.6+7.8)/(100-2.6)</f>
        <v>0.6889117043121149</v>
      </c>
      <c r="O55" s="7">
        <v>0.55000000000000004</v>
      </c>
      <c r="P55" s="7">
        <v>21.99</v>
      </c>
      <c r="Q55" s="6" t="s">
        <v>52</v>
      </c>
      <c r="R55" s="7" t="s">
        <v>57</v>
      </c>
      <c r="S55" s="7" t="s">
        <v>168</v>
      </c>
      <c r="T55" s="83">
        <v>1.819</v>
      </c>
      <c r="U55" s="7">
        <v>0.153</v>
      </c>
      <c r="V55" s="7">
        <v>24555</v>
      </c>
      <c r="W55">
        <v>93.6</v>
      </c>
      <c r="X55" s="7">
        <v>17.899999999999999</v>
      </c>
      <c r="Y55" s="7"/>
      <c r="Z55" s="7"/>
      <c r="AA55" s="7"/>
      <c r="AB55" s="7">
        <v>1.8320000000000001</v>
      </c>
      <c r="AC55" s="7">
        <v>0.126</v>
      </c>
      <c r="AD55" s="7">
        <v>79.5</v>
      </c>
      <c r="AE55" s="7">
        <v>1.831</v>
      </c>
      <c r="AF55" s="7">
        <v>1.831</v>
      </c>
      <c r="AG55" s="7">
        <v>2.0659999999999998</v>
      </c>
    </row>
    <row r="56" spans="1:33" ht="12.75" customHeight="1">
      <c r="A56" s="3"/>
      <c r="B56" s="12"/>
      <c r="C56" s="12"/>
      <c r="D56" s="15"/>
      <c r="E56" s="12" t="s">
        <v>169</v>
      </c>
      <c r="F56" s="4"/>
      <c r="G56" s="7"/>
      <c r="H56" s="4"/>
      <c r="I56" s="7"/>
      <c r="J56" s="7"/>
      <c r="K56" s="5"/>
      <c r="L56" s="10" t="s">
        <v>156</v>
      </c>
      <c r="M56" s="7" t="s">
        <v>103</v>
      </c>
      <c r="N56" s="17">
        <f>(70.1+7.8)/(100-9.6)</f>
        <v>0.86172566371681403</v>
      </c>
      <c r="O56" s="7">
        <v>0.35</v>
      </c>
      <c r="P56" s="7">
        <v>24.45</v>
      </c>
      <c r="Q56" s="6" t="s">
        <v>52</v>
      </c>
      <c r="R56" s="7" t="s">
        <v>170</v>
      </c>
      <c r="S56" s="7" t="s">
        <v>171</v>
      </c>
      <c r="T56" s="83">
        <v>1.7969999999999999</v>
      </c>
      <c r="U56" s="7">
        <v>0.105</v>
      </c>
      <c r="V56" s="7">
        <v>25985</v>
      </c>
      <c r="W56" s="7">
        <v>95.3</v>
      </c>
      <c r="X56" s="7">
        <v>19.899999999999999</v>
      </c>
      <c r="Y56" s="7"/>
      <c r="Z56" s="7"/>
      <c r="AA56" s="7"/>
      <c r="AB56" s="7">
        <v>1.7509999999999999</v>
      </c>
      <c r="AC56" s="7">
        <v>9.5000000000000001E-2</v>
      </c>
      <c r="AD56" s="7">
        <v>77.400000000000006</v>
      </c>
      <c r="AE56" s="7">
        <v>1.7549999999999999</v>
      </c>
      <c r="AF56" s="7">
        <v>1.7549999999999999</v>
      </c>
      <c r="AG56" s="7">
        <v>2.0390000000000001</v>
      </c>
    </row>
    <row r="57" spans="1:33" s="32" customFormat="1" ht="12.75" customHeight="1">
      <c r="A57" s="3" t="s">
        <v>33</v>
      </c>
      <c r="B57" s="27" t="s">
        <v>172</v>
      </c>
      <c r="C57" s="27" t="s">
        <v>172</v>
      </c>
      <c r="D57" s="61" t="s">
        <v>47</v>
      </c>
      <c r="E57" s="27" t="s">
        <v>172</v>
      </c>
      <c r="F57" s="28" t="s">
        <v>71</v>
      </c>
      <c r="G57" s="29"/>
      <c r="H57" s="28" t="s">
        <v>49</v>
      </c>
      <c r="I57" s="29"/>
      <c r="J57" s="29"/>
      <c r="K57" s="30" t="s">
        <v>79</v>
      </c>
      <c r="L57" s="31" t="s">
        <v>159</v>
      </c>
      <c r="M57" s="7" t="s">
        <v>103</v>
      </c>
      <c r="N57" s="17">
        <f>(40.2+15.1)/(100-35.5)</f>
        <v>0.85736434108527138</v>
      </c>
      <c r="O57" s="29">
        <v>0.25</v>
      </c>
      <c r="P57" s="29">
        <v>21.34</v>
      </c>
      <c r="Q57" s="62" t="s">
        <v>173</v>
      </c>
      <c r="R57" s="7" t="s">
        <v>53</v>
      </c>
      <c r="S57" s="29" t="s">
        <v>174</v>
      </c>
      <c r="T57" s="101">
        <v>1.9419999999999999</v>
      </c>
      <c r="U57" s="29">
        <v>0.24</v>
      </c>
      <c r="V57" s="29">
        <v>20481</v>
      </c>
      <c r="W57" s="29">
        <v>94.8</v>
      </c>
      <c r="X57" s="29">
        <v>19.3</v>
      </c>
      <c r="Y57" s="29"/>
      <c r="Z57" s="29"/>
      <c r="AA57" s="29"/>
      <c r="AB57" s="29">
        <v>1.911</v>
      </c>
      <c r="AC57" s="29">
        <v>0.20899999999999999</v>
      </c>
      <c r="AD57" s="29">
        <v>79.599999999999994</v>
      </c>
      <c r="AE57" s="29">
        <v>1.909</v>
      </c>
      <c r="AF57" s="29">
        <v>1.909</v>
      </c>
      <c r="AG57" s="29">
        <v>2.1659999999999999</v>
      </c>
    </row>
    <row r="58" spans="1:33" s="32" customFormat="1" ht="12.75" customHeight="1">
      <c r="A58" s="59" t="s">
        <v>33</v>
      </c>
      <c r="B58" s="27" t="s">
        <v>175</v>
      </c>
      <c r="C58" s="27" t="s">
        <v>175</v>
      </c>
      <c r="D58" s="57" t="s">
        <v>47</v>
      </c>
      <c r="E58" s="27" t="s">
        <v>175</v>
      </c>
      <c r="F58" s="28" t="s">
        <v>71</v>
      </c>
      <c r="G58" s="29"/>
      <c r="H58" s="28" t="s">
        <v>49</v>
      </c>
      <c r="I58" s="29"/>
      <c r="J58" s="29"/>
      <c r="K58" s="30" t="s">
        <v>79</v>
      </c>
      <c r="L58" s="29" t="s">
        <v>176</v>
      </c>
      <c r="M58" s="29" t="s">
        <v>160</v>
      </c>
      <c r="N58" s="60">
        <f>(36.2+10.8)/(100-3.6)</f>
        <v>0.487551867219917</v>
      </c>
      <c r="O58" s="29">
        <v>0.4</v>
      </c>
      <c r="P58" s="29">
        <v>20.96</v>
      </c>
      <c r="Q58" s="58" t="s">
        <v>177</v>
      </c>
      <c r="R58" s="29" t="s">
        <v>53</v>
      </c>
      <c r="S58" s="29" t="s">
        <v>178</v>
      </c>
      <c r="T58" s="101">
        <v>2.25</v>
      </c>
      <c r="U58" s="29">
        <v>0.39100000000000001</v>
      </c>
      <c r="V58" s="29">
        <v>13539</v>
      </c>
      <c r="W58" s="29">
        <v>97.3</v>
      </c>
      <c r="X58" s="29">
        <v>20.3</v>
      </c>
      <c r="Y58" s="29"/>
      <c r="Z58" s="29"/>
      <c r="AA58" s="29"/>
      <c r="AB58" s="29">
        <v>2.2450000000000001</v>
      </c>
      <c r="AC58" s="29">
        <v>0.32500000000000001</v>
      </c>
      <c r="AD58" s="29">
        <v>85</v>
      </c>
      <c r="AE58" s="29">
        <v>2.2440000000000002</v>
      </c>
      <c r="AF58" s="29">
        <v>2.2440000000000002</v>
      </c>
      <c r="AG58" s="29">
        <v>2.3940000000000001</v>
      </c>
    </row>
    <row r="59" spans="1:33" s="32" customFormat="1" ht="12.75" customHeight="1">
      <c r="A59" s="3"/>
      <c r="B59" s="27"/>
      <c r="C59" s="27"/>
      <c r="D59" s="57"/>
      <c r="E59" s="27" t="s">
        <v>179</v>
      </c>
      <c r="F59" s="28"/>
      <c r="G59" s="29"/>
      <c r="H59" s="28"/>
      <c r="I59" s="29"/>
      <c r="J59" s="29"/>
      <c r="K59" s="30"/>
      <c r="L59" s="29" t="s">
        <v>180</v>
      </c>
      <c r="M59" s="29"/>
      <c r="N59" s="29"/>
      <c r="O59" s="29"/>
      <c r="P59" s="29"/>
      <c r="Q59" s="58"/>
      <c r="R59" s="29"/>
      <c r="S59" s="29"/>
      <c r="T59" s="101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</row>
    <row r="60" spans="1:33" ht="12.75" customHeight="1">
      <c r="A60" s="3" t="s">
        <v>33</v>
      </c>
      <c r="B60" s="12" t="s">
        <v>181</v>
      </c>
      <c r="C60" s="12" t="s">
        <v>181</v>
      </c>
      <c r="D60" s="15" t="s">
        <v>182</v>
      </c>
      <c r="E60" s="12" t="s">
        <v>181</v>
      </c>
      <c r="F60" s="4" t="s">
        <v>183</v>
      </c>
      <c r="G60" s="7"/>
      <c r="H60" s="4" t="s">
        <v>184</v>
      </c>
      <c r="I60" s="7"/>
      <c r="J60" s="7"/>
      <c r="K60" s="5" t="s">
        <v>79</v>
      </c>
      <c r="L60" s="7" t="s">
        <v>185</v>
      </c>
      <c r="M60" s="7"/>
      <c r="N60" s="7"/>
      <c r="O60" s="7"/>
      <c r="P60" s="7"/>
      <c r="Q60" s="6"/>
      <c r="R60" s="7"/>
      <c r="S60" s="7"/>
      <c r="T60" s="83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 spans="1:33" s="71" customFormat="1" ht="12.75" customHeight="1">
      <c r="A61" s="63" t="s">
        <v>33</v>
      </c>
      <c r="B61" s="64" t="s">
        <v>186</v>
      </c>
      <c r="C61" s="64" t="s">
        <v>186</v>
      </c>
      <c r="D61" s="74" t="s">
        <v>182</v>
      </c>
      <c r="E61" s="64" t="s">
        <v>186</v>
      </c>
      <c r="F61" s="72" t="s">
        <v>183</v>
      </c>
      <c r="G61" s="67"/>
      <c r="H61" s="72" t="s">
        <v>184</v>
      </c>
      <c r="I61" s="67"/>
      <c r="J61" s="67"/>
      <c r="K61" s="68" t="s">
        <v>79</v>
      </c>
      <c r="L61" s="67" t="s">
        <v>187</v>
      </c>
      <c r="M61" s="67" t="s">
        <v>103</v>
      </c>
      <c r="N61" s="76">
        <f>(91.5)/(100-0.1)</f>
        <v>0.91591591591591581</v>
      </c>
      <c r="O61" s="67">
        <v>0.2</v>
      </c>
      <c r="P61" s="67">
        <v>27</v>
      </c>
      <c r="Q61" s="73" t="s">
        <v>52</v>
      </c>
      <c r="R61" s="75" t="s">
        <v>53</v>
      </c>
      <c r="S61" s="67" t="s">
        <v>188</v>
      </c>
      <c r="T61" s="83">
        <v>1.6359999999999999</v>
      </c>
      <c r="U61" s="67">
        <v>0.123</v>
      </c>
      <c r="V61" s="67">
        <v>35495</v>
      </c>
      <c r="W61" s="67">
        <v>99.6</v>
      </c>
      <c r="X61" s="67">
        <v>20.7</v>
      </c>
      <c r="Y61" s="67">
        <v>10352</v>
      </c>
      <c r="Z61" s="67">
        <v>99</v>
      </c>
      <c r="AA61" s="67"/>
      <c r="AB61" s="67">
        <v>1.6619999999999999</v>
      </c>
      <c r="AC61" s="67">
        <v>0.10299999999999999</v>
      </c>
      <c r="AD61" s="67">
        <v>83.5</v>
      </c>
      <c r="AE61" s="67">
        <v>1.6619999999999999</v>
      </c>
      <c r="AF61" s="67">
        <v>1.6619999999999999</v>
      </c>
      <c r="AG61" s="67">
        <v>1.879</v>
      </c>
    </row>
    <row r="62" spans="1:33" ht="12.75" customHeight="1">
      <c r="A62" s="3"/>
      <c r="B62" s="12"/>
      <c r="C62" s="12"/>
      <c r="D62" s="15"/>
      <c r="E62" s="12" t="s">
        <v>189</v>
      </c>
      <c r="F62" s="4"/>
      <c r="G62" s="7"/>
      <c r="H62" s="4"/>
      <c r="I62" s="7"/>
      <c r="J62" s="7"/>
      <c r="K62" s="5"/>
      <c r="L62" s="10" t="s">
        <v>190</v>
      </c>
      <c r="M62" s="7" t="s">
        <v>103</v>
      </c>
      <c r="N62" s="60">
        <f>(94.3)/(100-2.4)</f>
        <v>0.96618852459016391</v>
      </c>
      <c r="O62" s="7">
        <v>0.16</v>
      </c>
      <c r="P62" s="7">
        <v>26.87</v>
      </c>
      <c r="Q62" s="6" t="s">
        <v>52</v>
      </c>
      <c r="R62" s="29" t="s">
        <v>53</v>
      </c>
      <c r="S62" s="7" t="s">
        <v>191</v>
      </c>
      <c r="T62" s="83">
        <v>1.7230000000000001</v>
      </c>
      <c r="U62" s="7">
        <v>0.122</v>
      </c>
      <c r="V62" s="7">
        <v>30539</v>
      </c>
      <c r="W62" s="7">
        <v>99.7</v>
      </c>
      <c r="X62" s="7">
        <v>20.8</v>
      </c>
      <c r="Y62" s="7"/>
      <c r="Z62" s="7"/>
      <c r="AA62" s="7"/>
      <c r="AB62" s="7">
        <v>1.7</v>
      </c>
      <c r="AC62" s="7">
        <v>0.109</v>
      </c>
      <c r="AD62" s="7">
        <v>82.5</v>
      </c>
      <c r="AE62" s="7">
        <v>1.7250000000000001</v>
      </c>
      <c r="AF62" s="7">
        <v>1.7250000000000001</v>
      </c>
      <c r="AG62" s="7">
        <v>1.895</v>
      </c>
    </row>
    <row r="63" spans="1:33" ht="12.75" customHeight="1">
      <c r="A63" s="3"/>
      <c r="B63" s="12"/>
      <c r="C63" s="12"/>
      <c r="D63" s="15"/>
      <c r="E63" s="12" t="s">
        <v>192</v>
      </c>
      <c r="F63" s="4"/>
      <c r="G63" s="7"/>
      <c r="H63" s="4"/>
      <c r="I63" s="7"/>
      <c r="J63" s="7"/>
      <c r="K63" s="5"/>
      <c r="L63" s="10" t="s">
        <v>193</v>
      </c>
      <c r="M63" s="7" t="s">
        <v>103</v>
      </c>
      <c r="N63" s="60">
        <f>(95.6)/(100-0.8)</f>
        <v>0.96370967741935476</v>
      </c>
      <c r="O63" s="7">
        <v>0.12</v>
      </c>
      <c r="P63" s="7">
        <v>18.77</v>
      </c>
      <c r="Q63" s="26"/>
      <c r="R63" s="29" t="s">
        <v>53</v>
      </c>
      <c r="S63" s="7" t="s">
        <v>194</v>
      </c>
      <c r="T63" s="83">
        <v>1.7989999999999999</v>
      </c>
      <c r="U63" s="7">
        <v>0.13400000000000001</v>
      </c>
      <c r="V63" s="7">
        <v>26867</v>
      </c>
      <c r="W63">
        <v>99.7</v>
      </c>
      <c r="X63" s="7">
        <v>14</v>
      </c>
      <c r="Y63" s="7"/>
      <c r="Z63" s="7"/>
      <c r="AA63" s="7"/>
      <c r="AB63" s="7">
        <v>1.7649999999999999</v>
      </c>
      <c r="AC63" s="7">
        <v>0.124</v>
      </c>
      <c r="AD63" s="7">
        <v>85.4</v>
      </c>
      <c r="AE63" s="7">
        <v>1.7689999999999999</v>
      </c>
      <c r="AF63" s="7">
        <v>1.7689999999999999</v>
      </c>
      <c r="AG63" s="7">
        <v>1.9470000000000001</v>
      </c>
    </row>
    <row r="64" spans="1:33" ht="12.75" customHeight="1">
      <c r="A64" s="3"/>
      <c r="B64" s="12"/>
      <c r="C64" s="12"/>
      <c r="D64" s="15"/>
      <c r="E64" s="12" t="s">
        <v>195</v>
      </c>
      <c r="F64" s="4"/>
      <c r="G64" s="7"/>
      <c r="H64" s="4"/>
      <c r="I64" s="7"/>
      <c r="J64" s="7"/>
      <c r="K64" s="5"/>
      <c r="L64" s="10" t="s">
        <v>196</v>
      </c>
      <c r="M64" s="7" t="s">
        <v>103</v>
      </c>
      <c r="N64" s="60">
        <f>(96)/(100)</f>
        <v>0.96</v>
      </c>
      <c r="O64" s="7">
        <v>0.12</v>
      </c>
      <c r="P64" s="7">
        <v>18.63</v>
      </c>
      <c r="Q64" s="26"/>
      <c r="R64" s="29" t="s">
        <v>53</v>
      </c>
      <c r="S64" s="7" t="s">
        <v>197</v>
      </c>
      <c r="T64" s="83">
        <v>1.8160000000000001</v>
      </c>
      <c r="U64" s="7">
        <v>0.14499999999999999</v>
      </c>
      <c r="V64" s="7">
        <v>26265</v>
      </c>
      <c r="W64" s="7">
        <v>99.7</v>
      </c>
      <c r="X64" s="7">
        <v>18.2</v>
      </c>
      <c r="Y64" s="7"/>
      <c r="Z64" s="7"/>
      <c r="AA64" s="7"/>
      <c r="AB64" s="7">
        <v>1.7909999999999999</v>
      </c>
      <c r="AC64" s="7">
        <v>0.13200000000000001</v>
      </c>
      <c r="AD64" s="7">
        <v>85</v>
      </c>
      <c r="AE64" s="7">
        <v>1.7889999999999999</v>
      </c>
      <c r="AF64" s="7">
        <v>1.7889999999999999</v>
      </c>
      <c r="AG64" s="7">
        <v>1.998</v>
      </c>
    </row>
    <row r="65" spans="1:33" ht="12.75" customHeight="1">
      <c r="A65" s="3" t="s">
        <v>33</v>
      </c>
      <c r="B65" s="12" t="s">
        <v>198</v>
      </c>
      <c r="C65" s="12" t="s">
        <v>198</v>
      </c>
      <c r="D65" s="15" t="s">
        <v>182</v>
      </c>
      <c r="E65" s="12" t="s">
        <v>198</v>
      </c>
      <c r="F65" s="4" t="s">
        <v>183</v>
      </c>
      <c r="G65" s="7"/>
      <c r="H65" s="4" t="s">
        <v>199</v>
      </c>
      <c r="I65" s="7"/>
      <c r="J65" s="7"/>
      <c r="K65" s="5" t="s">
        <v>79</v>
      </c>
      <c r="L65" s="7" t="s">
        <v>133</v>
      </c>
      <c r="M65" s="7"/>
      <c r="N65" s="7"/>
      <c r="O65" s="7"/>
      <c r="P65" s="7"/>
      <c r="Q65" s="6"/>
      <c r="R65" s="7"/>
      <c r="S65" s="7"/>
      <c r="T65" s="83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ht="12.75" customHeight="1">
      <c r="A66" s="3" t="s">
        <v>33</v>
      </c>
      <c r="B66" s="12" t="s">
        <v>200</v>
      </c>
      <c r="C66" s="12" t="s">
        <v>200</v>
      </c>
      <c r="D66" s="4" t="s">
        <v>201</v>
      </c>
      <c r="E66" s="12" t="s">
        <v>200</v>
      </c>
      <c r="F66" s="4" t="s">
        <v>202</v>
      </c>
      <c r="G66" s="7"/>
      <c r="H66" s="4" t="s">
        <v>203</v>
      </c>
      <c r="I66" s="7"/>
      <c r="J66" s="7"/>
      <c r="K66" s="5" t="s">
        <v>204</v>
      </c>
      <c r="L66" s="10" t="s">
        <v>205</v>
      </c>
      <c r="M66" s="7" t="s">
        <v>51</v>
      </c>
      <c r="N66" s="7">
        <v>0.873</v>
      </c>
      <c r="O66" s="7">
        <v>0.56000000000000005</v>
      </c>
      <c r="P66" s="7">
        <v>11.07</v>
      </c>
      <c r="Q66" s="7" t="s">
        <v>52</v>
      </c>
      <c r="R66" s="7" t="s">
        <v>206</v>
      </c>
      <c r="S66" s="7" t="s">
        <v>207</v>
      </c>
      <c r="T66" s="83">
        <v>3.181</v>
      </c>
      <c r="U66" s="24">
        <v>0.42</v>
      </c>
      <c r="V66" s="7">
        <v>32271</v>
      </c>
      <c r="W66" s="7">
        <v>99.7</v>
      </c>
      <c r="X66" s="7">
        <v>13.8</v>
      </c>
      <c r="Y66" s="7"/>
      <c r="Z66" s="7"/>
      <c r="AA66" s="7"/>
      <c r="AB66" s="7">
        <v>3.1230000000000002</v>
      </c>
      <c r="AC66" s="7">
        <v>0.36899999999999999</v>
      </c>
      <c r="AD66" s="7">
        <v>86</v>
      </c>
      <c r="AE66" s="7">
        <v>3.2759999999999998</v>
      </c>
      <c r="AF66" s="7">
        <v>3.1230000000000002</v>
      </c>
      <c r="AG66" s="7">
        <v>3.13</v>
      </c>
    </row>
    <row r="67" spans="1:33" ht="12.75" customHeight="1">
      <c r="A67" s="3"/>
      <c r="B67" s="12"/>
      <c r="C67" s="12"/>
      <c r="D67" s="4"/>
      <c r="E67" s="12"/>
      <c r="F67" s="4"/>
      <c r="G67" s="7"/>
      <c r="H67" s="4"/>
      <c r="I67" s="7"/>
      <c r="J67" s="7"/>
      <c r="K67" s="5"/>
      <c r="L67" s="10" t="s">
        <v>208</v>
      </c>
      <c r="M67" s="7" t="s">
        <v>51</v>
      </c>
      <c r="N67" s="7">
        <v>0.88300000000000001</v>
      </c>
      <c r="O67" s="7">
        <v>0.56000000000000005</v>
      </c>
      <c r="P67" s="7">
        <v>12.96</v>
      </c>
      <c r="Q67" s="7" t="s">
        <v>52</v>
      </c>
      <c r="R67" s="7" t="s">
        <v>209</v>
      </c>
      <c r="S67" s="7" t="s">
        <v>210</v>
      </c>
      <c r="T67" s="83">
        <v>3.3090000000000002</v>
      </c>
      <c r="U67" s="24">
        <v>0.314</v>
      </c>
      <c r="V67" s="7">
        <v>52992</v>
      </c>
      <c r="W67" s="7">
        <v>96.8</v>
      </c>
      <c r="X67" s="7">
        <v>7.3</v>
      </c>
      <c r="Y67" s="7">
        <v>5640</v>
      </c>
      <c r="Z67" s="7">
        <v>62</v>
      </c>
      <c r="AA67" s="7" t="s">
        <v>103</v>
      </c>
      <c r="AB67" s="7">
        <v>3.1589999999999998</v>
      </c>
      <c r="AC67" s="7">
        <v>0.27200000000000002</v>
      </c>
      <c r="AD67" s="7">
        <v>75.5</v>
      </c>
      <c r="AE67" s="7">
        <v>3.5870000000000002</v>
      </c>
      <c r="AF67" s="7">
        <v>3.2360000000000002</v>
      </c>
      <c r="AG67" s="7">
        <v>3.1589999999999998</v>
      </c>
    </row>
    <row r="68" spans="1:33" ht="12.75" customHeight="1">
      <c r="A68" s="3"/>
      <c r="B68" s="12"/>
      <c r="C68" s="12"/>
      <c r="D68" s="4"/>
      <c r="E68" s="12"/>
      <c r="F68" s="4"/>
      <c r="G68" s="7"/>
      <c r="H68" s="4"/>
      <c r="I68" s="7"/>
      <c r="J68" s="7"/>
      <c r="K68" s="5"/>
      <c r="L68" s="10" t="s">
        <v>211</v>
      </c>
      <c r="M68" s="7" t="s">
        <v>51</v>
      </c>
      <c r="N68" s="7">
        <v>0.8</v>
      </c>
      <c r="O68" s="7">
        <v>0.52</v>
      </c>
      <c r="P68" s="7">
        <v>10.6</v>
      </c>
      <c r="Q68" s="7" t="s">
        <v>52</v>
      </c>
      <c r="R68" s="7" t="s">
        <v>212</v>
      </c>
      <c r="S68" s="7" t="s">
        <v>213</v>
      </c>
      <c r="T68" s="83">
        <v>2.9660000000000002</v>
      </c>
      <c r="U68" s="24">
        <v>0.54900000000000004</v>
      </c>
      <c r="V68" s="7">
        <v>19928</v>
      </c>
      <c r="W68" s="7">
        <v>100</v>
      </c>
      <c r="X68" s="7">
        <v>27</v>
      </c>
      <c r="Y68" s="7"/>
      <c r="Z68" s="7"/>
      <c r="AA68" s="7"/>
      <c r="AB68" s="7">
        <v>2.9350000000000001</v>
      </c>
      <c r="AC68" s="7">
        <v>0.41799999999999998</v>
      </c>
      <c r="AD68" s="7">
        <v>74.900000000000006</v>
      </c>
      <c r="AE68" s="7">
        <v>3.16</v>
      </c>
      <c r="AF68" s="7">
        <v>3.16</v>
      </c>
      <c r="AG68" s="7">
        <v>2.9689999999999999</v>
      </c>
    </row>
    <row r="69" spans="1:33" ht="12.75" customHeight="1">
      <c r="A69" s="3"/>
      <c r="B69" s="12"/>
      <c r="C69" s="12"/>
      <c r="D69" s="4"/>
      <c r="E69" s="12" t="s">
        <v>214</v>
      </c>
      <c r="F69" s="4"/>
      <c r="G69" s="7"/>
      <c r="H69" s="4"/>
      <c r="I69" s="7"/>
      <c r="J69" s="7"/>
      <c r="K69" s="5"/>
      <c r="L69" s="10" t="s">
        <v>205</v>
      </c>
      <c r="M69" s="7" t="s">
        <v>51</v>
      </c>
      <c r="N69" s="7">
        <v>0.86399999999999999</v>
      </c>
      <c r="O69" s="7">
        <v>0.57999999999999996</v>
      </c>
      <c r="P69" s="7">
        <v>11.07</v>
      </c>
      <c r="Q69" s="7" t="s">
        <v>52</v>
      </c>
      <c r="R69" s="7" t="s">
        <v>206</v>
      </c>
      <c r="S69" s="7" t="s">
        <v>215</v>
      </c>
      <c r="T69" s="83">
        <v>3.214</v>
      </c>
      <c r="U69" s="24">
        <v>0.41799999999999998</v>
      </c>
      <c r="V69" s="7">
        <v>31171</v>
      </c>
      <c r="W69" s="7">
        <v>99.6</v>
      </c>
      <c r="X69" s="7">
        <v>13.7</v>
      </c>
      <c r="Y69" s="7"/>
      <c r="Z69" s="7"/>
      <c r="AA69" s="7"/>
      <c r="AB69" s="7">
        <v>3.01</v>
      </c>
      <c r="AC69" s="7">
        <v>0.377</v>
      </c>
      <c r="AD69" s="7">
        <v>77.900000000000006</v>
      </c>
      <c r="AE69" s="7">
        <v>3.3490000000000002</v>
      </c>
      <c r="AF69" s="7">
        <v>3.319</v>
      </c>
      <c r="AG69" s="7">
        <v>2.97</v>
      </c>
    </row>
    <row r="70" spans="1:33" ht="12.75" customHeight="1">
      <c r="A70" s="3"/>
      <c r="B70" s="12"/>
      <c r="C70" s="12"/>
      <c r="D70" s="4"/>
      <c r="E70" s="12"/>
      <c r="F70" s="4"/>
      <c r="G70" s="7"/>
      <c r="H70" s="4"/>
      <c r="I70" s="7"/>
      <c r="J70" s="7"/>
      <c r="K70" s="5"/>
      <c r="L70" s="10" t="s">
        <v>216</v>
      </c>
      <c r="M70" s="7" t="s">
        <v>51</v>
      </c>
      <c r="N70" s="7">
        <v>0.86599999999999999</v>
      </c>
      <c r="O70" s="7">
        <v>0.55000000000000004</v>
      </c>
      <c r="P70" s="7">
        <v>11.5</v>
      </c>
      <c r="Q70" s="7" t="s">
        <v>217</v>
      </c>
      <c r="R70" s="7" t="s">
        <v>206</v>
      </c>
      <c r="S70" s="7" t="s">
        <v>218</v>
      </c>
      <c r="T70" s="83">
        <v>3.1890000000000001</v>
      </c>
      <c r="U70" s="24">
        <v>0.38900000000000001</v>
      </c>
      <c r="V70" s="7">
        <v>31853</v>
      </c>
      <c r="W70" s="7">
        <v>99.6</v>
      </c>
      <c r="X70" s="7"/>
      <c r="Y70" s="7">
        <v>3817</v>
      </c>
      <c r="Z70" s="7">
        <v>61</v>
      </c>
      <c r="AA70" s="7" t="s">
        <v>103</v>
      </c>
      <c r="AB70" s="7"/>
      <c r="AC70" s="7"/>
      <c r="AD70" s="7"/>
      <c r="AE70" s="7"/>
      <c r="AF70" s="7"/>
      <c r="AG70" s="7"/>
    </row>
    <row r="71" spans="1:33" ht="12.75" customHeight="1">
      <c r="A71" s="3"/>
      <c r="B71" s="12"/>
      <c r="C71" s="12"/>
      <c r="D71" s="4"/>
      <c r="E71" s="12"/>
      <c r="F71" s="4"/>
      <c r="G71" s="7"/>
      <c r="H71" s="4"/>
      <c r="I71" s="7"/>
      <c r="J71" s="7"/>
      <c r="K71" s="5"/>
      <c r="L71" s="10" t="s">
        <v>219</v>
      </c>
      <c r="M71" s="7" t="s">
        <v>51</v>
      </c>
      <c r="N71" s="7">
        <v>0.875</v>
      </c>
      <c r="O71" s="7">
        <v>0.55000000000000004</v>
      </c>
      <c r="P71" s="7">
        <v>11.74</v>
      </c>
      <c r="Q71" s="7" t="s">
        <v>220</v>
      </c>
      <c r="R71" s="7" t="s">
        <v>206</v>
      </c>
      <c r="S71" s="7" t="s">
        <v>221</v>
      </c>
      <c r="T71" s="83">
        <v>3.2240000000000002</v>
      </c>
      <c r="U71" s="24">
        <v>0.33500000000000002</v>
      </c>
      <c r="V71" s="7">
        <v>30765</v>
      </c>
      <c r="W71" s="7">
        <v>99.5</v>
      </c>
      <c r="X71" s="7">
        <v>9.1</v>
      </c>
      <c r="Y71" s="7"/>
      <c r="Z71" s="7"/>
      <c r="AA71" s="7"/>
      <c r="AB71" s="7">
        <v>3.0139999999999998</v>
      </c>
      <c r="AC71" s="7">
        <v>3.0139999999999998</v>
      </c>
      <c r="AD71" s="7">
        <v>0.30299999999999999</v>
      </c>
      <c r="AE71" s="7">
        <v>3.39</v>
      </c>
      <c r="AF71" s="7">
        <v>3.3479999999999999</v>
      </c>
      <c r="AG71" s="7">
        <v>2.9950000000000001</v>
      </c>
    </row>
    <row r="72" spans="1:33" ht="12.75" customHeight="1">
      <c r="A72" s="3"/>
      <c r="B72" s="12"/>
      <c r="C72" s="12"/>
      <c r="D72" s="4"/>
      <c r="E72" s="12"/>
      <c r="F72" s="4"/>
      <c r="G72" s="7"/>
      <c r="H72" s="4"/>
      <c r="I72" s="7"/>
      <c r="J72" s="7"/>
      <c r="K72" s="5"/>
      <c r="L72" s="10" t="s">
        <v>208</v>
      </c>
      <c r="M72" s="7" t="s">
        <v>51</v>
      </c>
      <c r="N72" s="7">
        <v>0.86199999999999999</v>
      </c>
      <c r="O72" s="7">
        <v>0.55000000000000004</v>
      </c>
      <c r="P72" s="7">
        <v>13.61</v>
      </c>
      <c r="Q72" s="7" t="s">
        <v>217</v>
      </c>
      <c r="R72" s="7" t="s">
        <v>209</v>
      </c>
      <c r="S72" s="7" t="s">
        <v>222</v>
      </c>
      <c r="T72" s="83">
        <v>3.4020000000000001</v>
      </c>
      <c r="U72" s="23">
        <v>0.28599999999999998</v>
      </c>
      <c r="V72" s="7">
        <v>48313</v>
      </c>
      <c r="W72" s="7">
        <v>96.4</v>
      </c>
      <c r="X72" s="7">
        <v>6.5</v>
      </c>
      <c r="Y72" s="7"/>
      <c r="Z72" s="7"/>
      <c r="AA72" s="7"/>
      <c r="AB72" s="7">
        <v>3.0760000000000001</v>
      </c>
      <c r="AC72" s="7">
        <v>0.28199999999999997</v>
      </c>
      <c r="AD72" s="7">
        <v>71.400000000000006</v>
      </c>
      <c r="AE72" s="7">
        <v>3.3660000000000001</v>
      </c>
      <c r="AF72" s="7">
        <v>3.5819999999999999</v>
      </c>
      <c r="AG72" s="7">
        <v>3.0630000000000002</v>
      </c>
    </row>
    <row r="73" spans="1:33" ht="12.75" customHeight="1">
      <c r="A73" s="3"/>
      <c r="B73" s="12"/>
      <c r="C73" s="12"/>
      <c r="D73" s="4"/>
      <c r="E73" s="12"/>
      <c r="F73" s="4"/>
      <c r="G73" s="7"/>
      <c r="H73" s="4"/>
      <c r="I73" s="7"/>
      <c r="J73" s="7"/>
      <c r="K73" s="5"/>
      <c r="L73" s="10" t="s">
        <v>211</v>
      </c>
      <c r="M73" s="7" t="s">
        <v>51</v>
      </c>
      <c r="N73" s="7">
        <v>0.85599999999999998</v>
      </c>
      <c r="O73" s="7">
        <v>0.6</v>
      </c>
      <c r="P73" s="7">
        <v>9.8800000000000008</v>
      </c>
      <c r="Q73" s="7" t="s">
        <v>217</v>
      </c>
      <c r="R73" s="7" t="s">
        <v>212</v>
      </c>
      <c r="S73" s="7" t="s">
        <v>223</v>
      </c>
      <c r="T73" s="83">
        <v>3.0710000000000002</v>
      </c>
      <c r="U73" s="24">
        <v>0.76100000000000001</v>
      </c>
      <c r="V73" s="7">
        <v>18413</v>
      </c>
      <c r="W73" s="7">
        <v>100</v>
      </c>
      <c r="X73" s="7">
        <v>23.8</v>
      </c>
      <c r="Y73" s="7"/>
      <c r="Z73" s="7"/>
      <c r="AA73" s="7"/>
      <c r="AB73" s="7">
        <v>2.887</v>
      </c>
      <c r="AC73" s="7">
        <v>0.55900000000000005</v>
      </c>
      <c r="AD73" s="7">
        <v>62.4</v>
      </c>
      <c r="AE73" s="7">
        <v>3.5179999999999998</v>
      </c>
      <c r="AF73" s="7">
        <v>3.5179999999999998</v>
      </c>
      <c r="AG73" s="7">
        <v>2.8330000000000002</v>
      </c>
    </row>
    <row r="74" spans="1:33" ht="12.75" customHeight="1">
      <c r="A74" s="3" t="s">
        <v>33</v>
      </c>
      <c r="B74" s="12" t="s">
        <v>224</v>
      </c>
      <c r="C74" s="12" t="s">
        <v>224</v>
      </c>
      <c r="D74" s="4" t="s">
        <v>201</v>
      </c>
      <c r="E74" s="12" t="s">
        <v>224</v>
      </c>
      <c r="F74" s="4" t="s">
        <v>202</v>
      </c>
      <c r="G74" s="7"/>
      <c r="H74" s="4" t="s">
        <v>203</v>
      </c>
      <c r="I74" s="7"/>
      <c r="J74" s="7"/>
      <c r="K74" s="5" t="s">
        <v>204</v>
      </c>
      <c r="L74" s="10" t="s">
        <v>205</v>
      </c>
      <c r="M74" s="7" t="s">
        <v>225</v>
      </c>
      <c r="N74" s="7">
        <v>0.78200000000000003</v>
      </c>
      <c r="O74" s="7">
        <v>0.35</v>
      </c>
      <c r="P74" s="24">
        <v>4.13</v>
      </c>
      <c r="Q74" s="6" t="s">
        <v>52</v>
      </c>
      <c r="R74" s="7" t="s">
        <v>212</v>
      </c>
      <c r="S74" s="7" t="s">
        <v>226</v>
      </c>
      <c r="T74" s="83">
        <v>3.36</v>
      </c>
      <c r="U74" s="24">
        <v>0.64800000000000002</v>
      </c>
      <c r="V74" s="7">
        <v>14304</v>
      </c>
      <c r="W74" s="7">
        <v>100</v>
      </c>
      <c r="X74" s="7">
        <v>26.4</v>
      </c>
      <c r="Y74" s="7"/>
      <c r="Z74" s="7"/>
      <c r="AA74" s="7"/>
      <c r="AB74" s="7">
        <v>3.3180000000000001</v>
      </c>
      <c r="AC74" s="7">
        <v>0.58499999999999996</v>
      </c>
      <c r="AD74" s="7">
        <v>89.7</v>
      </c>
      <c r="AE74" s="7">
        <v>3.3940000000000001</v>
      </c>
      <c r="AF74" s="7">
        <v>3.3940000000000001</v>
      </c>
      <c r="AG74" s="7">
        <v>3.3180000000000001</v>
      </c>
    </row>
    <row r="75" spans="1:33" ht="12.75" customHeight="1">
      <c r="A75" s="3"/>
      <c r="B75" s="12"/>
      <c r="C75" s="12"/>
      <c r="D75" s="4"/>
      <c r="E75" s="12"/>
      <c r="F75" s="4"/>
      <c r="G75" s="7"/>
      <c r="H75" s="4"/>
      <c r="I75" s="7"/>
      <c r="J75" s="7"/>
      <c r="K75" s="5"/>
      <c r="L75" s="10" t="s">
        <v>227</v>
      </c>
      <c r="M75" s="7" t="s">
        <v>225</v>
      </c>
      <c r="N75" s="7">
        <v>0.78100000000000003</v>
      </c>
      <c r="O75" s="7">
        <v>0.43</v>
      </c>
      <c r="P75" s="7">
        <v>10.119999999999999</v>
      </c>
      <c r="Q75" s="6" t="s">
        <v>52</v>
      </c>
      <c r="R75" s="7" t="s">
        <v>228</v>
      </c>
      <c r="S75" s="7" t="s">
        <v>229</v>
      </c>
      <c r="T75" s="83">
        <v>3.5209999999999999</v>
      </c>
      <c r="U75" s="24">
        <v>0.5</v>
      </c>
      <c r="V75" s="7">
        <v>24147</v>
      </c>
      <c r="W75" s="7">
        <v>99.9</v>
      </c>
      <c r="X75" s="7">
        <v>13.5</v>
      </c>
      <c r="Y75" s="7"/>
      <c r="Z75" s="7"/>
      <c r="AA75" s="7"/>
      <c r="AB75" s="7">
        <v>3.2519999999999998</v>
      </c>
      <c r="AC75" s="7">
        <v>0.46200000000000002</v>
      </c>
      <c r="AD75" s="7">
        <v>76.2</v>
      </c>
      <c r="AE75" s="7">
        <v>3.3380000000000001</v>
      </c>
      <c r="AF75" s="7">
        <v>3.7330000000000001</v>
      </c>
      <c r="AG75" s="7">
        <v>3.4009999999999998</v>
      </c>
    </row>
    <row r="76" spans="1:33" ht="12.75" customHeight="1">
      <c r="A76" s="3"/>
      <c r="B76" s="12"/>
      <c r="C76" s="12"/>
      <c r="D76" s="4"/>
      <c r="E76" s="12"/>
      <c r="F76" s="4"/>
      <c r="G76" s="7"/>
      <c r="H76" s="4"/>
      <c r="I76" s="7"/>
      <c r="J76" s="7"/>
      <c r="K76" s="5"/>
      <c r="L76" s="10" t="s">
        <v>230</v>
      </c>
      <c r="M76" s="7" t="s">
        <v>225</v>
      </c>
      <c r="N76" s="7">
        <v>0.8</v>
      </c>
      <c r="O76" s="7">
        <v>0.4</v>
      </c>
      <c r="P76" s="7">
        <v>10.47</v>
      </c>
      <c r="Q76" s="6" t="s">
        <v>231</v>
      </c>
      <c r="R76" s="7" t="s">
        <v>228</v>
      </c>
      <c r="S76" s="7" t="s">
        <v>232</v>
      </c>
      <c r="T76" s="83">
        <v>3.5249999999999999</v>
      </c>
      <c r="U76" s="24">
        <v>0.435</v>
      </c>
      <c r="V76" s="7">
        <v>24098</v>
      </c>
      <c r="W76" s="7">
        <v>99.9</v>
      </c>
      <c r="X76" s="7">
        <v>10.5</v>
      </c>
      <c r="Y76" s="7"/>
      <c r="Z76" s="7"/>
      <c r="AA76" s="7"/>
      <c r="AB76" s="7">
        <v>3.2970000000000002</v>
      </c>
      <c r="AC76" s="7">
        <v>0.39900000000000002</v>
      </c>
      <c r="AD76" s="7">
        <v>78.099999999999994</v>
      </c>
      <c r="AE76" s="7">
        <v>3.3660000000000001</v>
      </c>
      <c r="AF76" s="7">
        <v>3.7440000000000002</v>
      </c>
      <c r="AG76" s="7">
        <v>3.4140000000000001</v>
      </c>
    </row>
    <row r="77" spans="1:33" ht="12.75" customHeight="1">
      <c r="A77" s="3"/>
      <c r="B77" s="12"/>
      <c r="C77" s="12"/>
      <c r="D77" s="4"/>
      <c r="E77" s="12"/>
      <c r="F77" s="4"/>
      <c r="G77" s="7"/>
      <c r="H77" s="4"/>
      <c r="I77" s="7"/>
      <c r="J77" s="7"/>
      <c r="K77" s="5"/>
      <c r="L77" s="10" t="s">
        <v>233</v>
      </c>
      <c r="M77" s="7"/>
      <c r="N77" s="7"/>
      <c r="O77" s="7"/>
      <c r="P77" s="7"/>
      <c r="Q77" s="6"/>
      <c r="R77" s="7" t="s">
        <v>209</v>
      </c>
      <c r="S77" s="7"/>
      <c r="T77" s="83"/>
      <c r="U77" s="33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 spans="1:33" ht="12.75" customHeight="1">
      <c r="A78" s="3" t="s">
        <v>33</v>
      </c>
      <c r="B78" s="12" t="s">
        <v>234</v>
      </c>
      <c r="C78" s="12" t="s">
        <v>234</v>
      </c>
      <c r="D78" s="4" t="s">
        <v>201</v>
      </c>
      <c r="E78" s="12" t="s">
        <v>234</v>
      </c>
      <c r="F78" s="4" t="s">
        <v>202</v>
      </c>
      <c r="G78" s="7"/>
      <c r="H78" s="4" t="s">
        <v>235</v>
      </c>
      <c r="I78" s="7"/>
      <c r="J78" s="7"/>
      <c r="K78" s="5" t="s">
        <v>204</v>
      </c>
      <c r="L78" s="10" t="s">
        <v>236</v>
      </c>
      <c r="M78" s="7" t="s">
        <v>51</v>
      </c>
      <c r="N78" s="7">
        <v>0.78600000000000003</v>
      </c>
      <c r="O78" s="7">
        <v>0.45</v>
      </c>
      <c r="P78" s="7">
        <v>14.01</v>
      </c>
      <c r="Q78" s="6" t="s">
        <v>52</v>
      </c>
      <c r="R78" s="7" t="s">
        <v>206</v>
      </c>
      <c r="S78" s="7" t="s">
        <v>237</v>
      </c>
      <c r="T78" s="83">
        <v>2.347</v>
      </c>
      <c r="U78" s="7">
        <v>0.24099999999999999</v>
      </c>
      <c r="V78" s="7">
        <v>73514</v>
      </c>
      <c r="W78" s="7">
        <v>94.1</v>
      </c>
      <c r="X78" s="7">
        <v>13.6</v>
      </c>
      <c r="Y78" s="7"/>
      <c r="Z78" s="7"/>
      <c r="AA78" s="7"/>
      <c r="AB78" s="7">
        <v>2.4260000000000002</v>
      </c>
      <c r="AC78" s="7">
        <v>0.19700000000000001</v>
      </c>
      <c r="AD78" s="7">
        <v>82</v>
      </c>
      <c r="AE78" s="7">
        <v>2.5409999999999999</v>
      </c>
      <c r="AF78" s="7">
        <v>2.4260000000000002</v>
      </c>
      <c r="AG78" s="7">
        <v>2.5009999999999999</v>
      </c>
    </row>
    <row r="79" spans="1:33" s="40" customFormat="1" ht="12.75" customHeight="1">
      <c r="A79" s="34"/>
      <c r="B79" s="35"/>
      <c r="C79" s="35"/>
      <c r="D79" s="36"/>
      <c r="E79" s="35" t="s">
        <v>234</v>
      </c>
      <c r="F79" s="36"/>
      <c r="G79" s="37"/>
      <c r="H79" s="36"/>
      <c r="I79" s="37"/>
      <c r="J79" s="37"/>
      <c r="K79" s="38"/>
      <c r="L79" s="37" t="s">
        <v>238</v>
      </c>
      <c r="M79" s="37" t="s">
        <v>51</v>
      </c>
      <c r="N79" s="37">
        <v>0.82399999999999995</v>
      </c>
      <c r="O79" s="37">
        <v>0.4</v>
      </c>
      <c r="P79" s="37">
        <v>17.7</v>
      </c>
      <c r="Q79" s="39" t="s">
        <v>52</v>
      </c>
      <c r="R79" s="37" t="s">
        <v>209</v>
      </c>
      <c r="S79" s="37" t="s">
        <v>239</v>
      </c>
      <c r="T79" s="83">
        <v>2.4889999999999999</v>
      </c>
      <c r="U79" s="37">
        <v>0.186</v>
      </c>
      <c r="V79" s="37">
        <v>120014</v>
      </c>
      <c r="W79" s="37">
        <v>94.1</v>
      </c>
      <c r="X79" s="37">
        <v>7.2</v>
      </c>
      <c r="Y79" s="37">
        <v>10987.725</v>
      </c>
      <c r="Z79" s="37">
        <v>90.5</v>
      </c>
      <c r="AA79" s="37"/>
      <c r="AB79" s="37">
        <v>2.4670000000000001</v>
      </c>
      <c r="AC79" s="37">
        <v>0.16300000000000001</v>
      </c>
      <c r="AD79" s="37">
        <v>77.599999999999994</v>
      </c>
      <c r="AE79" s="37">
        <v>2.6680000000000001</v>
      </c>
      <c r="AF79" s="37">
        <v>2.5169999999999999</v>
      </c>
      <c r="AG79" s="37">
        <v>2.5880000000000001</v>
      </c>
    </row>
    <row r="80" spans="1:33" s="82" customFormat="1" ht="12.75" customHeight="1">
      <c r="A80" s="77"/>
      <c r="B80" s="78"/>
      <c r="C80" s="78"/>
      <c r="D80" s="79"/>
      <c r="E80" s="78"/>
      <c r="F80" s="79"/>
      <c r="G80" s="25"/>
      <c r="H80" s="79"/>
      <c r="I80" s="25"/>
      <c r="J80" s="25"/>
      <c r="K80" s="80"/>
      <c r="L80" s="25" t="s">
        <v>211</v>
      </c>
      <c r="M80" s="25" t="s">
        <v>51</v>
      </c>
      <c r="N80" s="25">
        <v>0.74299999999999999</v>
      </c>
      <c r="O80" s="25">
        <v>0.5</v>
      </c>
      <c r="P80" s="25">
        <v>2.2799999999999998</v>
      </c>
      <c r="Q80" s="81" t="s">
        <v>52</v>
      </c>
      <c r="R80" s="25" t="s">
        <v>212</v>
      </c>
      <c r="S80" s="25" t="s">
        <v>240</v>
      </c>
      <c r="T80" s="83">
        <v>2.3479999999999999</v>
      </c>
      <c r="U80" s="24">
        <v>2.5680000000000001</v>
      </c>
      <c r="V80" s="25">
        <v>38246</v>
      </c>
      <c r="W80" s="25">
        <v>95.5</v>
      </c>
      <c r="X80" s="25">
        <v>26.4</v>
      </c>
      <c r="Y80" s="25"/>
      <c r="Z80" s="25"/>
      <c r="AA80" s="25"/>
      <c r="AB80" s="25">
        <v>2.5609999999999999</v>
      </c>
      <c r="AC80" s="25">
        <v>0.83499999999999996</v>
      </c>
      <c r="AD80" s="25">
        <v>53.5</v>
      </c>
      <c r="AE80" s="25">
        <v>3.0059999999999998</v>
      </c>
      <c r="AF80" s="25">
        <v>3.0059999999999998</v>
      </c>
      <c r="AG80" s="25">
        <v>2.6779999999999999</v>
      </c>
    </row>
    <row r="81" spans="1:33" ht="12.75" customHeight="1">
      <c r="A81" s="3" t="s">
        <v>33</v>
      </c>
      <c r="B81" s="12" t="s">
        <v>241</v>
      </c>
      <c r="C81" s="12" t="s">
        <v>241</v>
      </c>
      <c r="D81" s="4" t="s">
        <v>201</v>
      </c>
      <c r="E81" s="12" t="s">
        <v>241</v>
      </c>
      <c r="F81" s="4" t="s">
        <v>202</v>
      </c>
      <c r="G81" s="7"/>
      <c r="H81" s="4" t="s">
        <v>235</v>
      </c>
      <c r="I81" s="7"/>
      <c r="J81" s="7"/>
      <c r="K81" s="5" t="s">
        <v>204</v>
      </c>
      <c r="L81" s="10" t="s">
        <v>236</v>
      </c>
      <c r="M81" s="7" t="s">
        <v>51</v>
      </c>
      <c r="N81" s="7">
        <v>0.77300000000000002</v>
      </c>
      <c r="O81" s="7">
        <v>0.7</v>
      </c>
      <c r="P81" s="7">
        <v>15.1</v>
      </c>
      <c r="Q81" s="6" t="s">
        <v>52</v>
      </c>
      <c r="R81" s="7" t="s">
        <v>89</v>
      </c>
      <c r="S81" s="7" t="s">
        <v>242</v>
      </c>
      <c r="T81" s="83">
        <v>2.847</v>
      </c>
      <c r="U81" s="24">
        <v>0.54</v>
      </c>
      <c r="V81" s="7">
        <v>83137</v>
      </c>
      <c r="W81" s="7">
        <v>99</v>
      </c>
      <c r="X81" s="7">
        <v>7.2</v>
      </c>
      <c r="Y81" s="7"/>
      <c r="Z81" s="7"/>
      <c r="AA81" s="7"/>
      <c r="AB81" s="7">
        <v>2.8159999999999998</v>
      </c>
      <c r="AC81" s="7">
        <v>0.28699999999999998</v>
      </c>
      <c r="AD81" s="7">
        <v>51.6</v>
      </c>
      <c r="AE81" s="7">
        <v>3.351</v>
      </c>
      <c r="AF81" s="7">
        <v>2.9580000000000002</v>
      </c>
      <c r="AG81" s="7">
        <v>2.8159999999999998</v>
      </c>
    </row>
    <row r="82" spans="1:33" ht="12.75" customHeight="1">
      <c r="A82" s="3"/>
      <c r="B82" s="12"/>
      <c r="C82" s="12"/>
      <c r="D82" s="4"/>
      <c r="E82" s="12"/>
      <c r="F82" s="4"/>
      <c r="G82" s="7"/>
      <c r="H82" s="4"/>
      <c r="I82" s="7"/>
      <c r="J82" s="7"/>
      <c r="K82" s="5"/>
      <c r="L82" s="10" t="s">
        <v>238</v>
      </c>
      <c r="M82" s="7" t="s">
        <v>51</v>
      </c>
      <c r="N82" s="7">
        <v>0.95399999999999996</v>
      </c>
      <c r="O82" s="7">
        <v>0.7</v>
      </c>
      <c r="P82" s="7">
        <v>15.31</v>
      </c>
      <c r="Q82" s="6" t="s">
        <v>52</v>
      </c>
      <c r="R82" s="7" t="s">
        <v>209</v>
      </c>
      <c r="S82" s="7" t="s">
        <v>243</v>
      </c>
      <c r="T82" s="83">
        <v>2.9159999999999999</v>
      </c>
      <c r="U82" s="24">
        <v>0.53500000000000003</v>
      </c>
      <c r="V82" s="7">
        <v>77758</v>
      </c>
      <c r="W82" s="7">
        <v>99.1</v>
      </c>
      <c r="X82" s="7">
        <v>7.2</v>
      </c>
      <c r="Y82" s="7"/>
      <c r="Z82" s="7"/>
      <c r="AA82" s="7"/>
      <c r="AB82" s="7">
        <v>2.7749999999999999</v>
      </c>
      <c r="AC82" s="7">
        <v>0.314</v>
      </c>
      <c r="AD82" s="7">
        <v>52.6</v>
      </c>
      <c r="AE82" s="7">
        <v>2.79</v>
      </c>
      <c r="AF82" s="7">
        <v>3.6030000000000002</v>
      </c>
      <c r="AG82" s="7">
        <v>2.84</v>
      </c>
    </row>
    <row r="83" spans="1:33" ht="12.75" customHeight="1">
      <c r="A83" s="3"/>
      <c r="B83" s="12"/>
      <c r="C83" s="12"/>
      <c r="D83" s="4"/>
      <c r="E83" s="12"/>
      <c r="F83" s="4"/>
      <c r="G83" s="7"/>
      <c r="H83" s="4"/>
      <c r="I83" s="7"/>
      <c r="J83" s="7"/>
      <c r="K83" s="5"/>
      <c r="L83" s="10" t="s">
        <v>211</v>
      </c>
      <c r="M83" s="7" t="s">
        <v>51</v>
      </c>
      <c r="N83" s="7">
        <v>0.76800000000000002</v>
      </c>
      <c r="O83" s="7">
        <v>0.68</v>
      </c>
      <c r="P83" s="7">
        <v>11.2</v>
      </c>
      <c r="Q83" s="6" t="s">
        <v>52</v>
      </c>
      <c r="R83" s="7" t="s">
        <v>212</v>
      </c>
      <c r="S83" s="7" t="s">
        <v>244</v>
      </c>
      <c r="T83" s="83">
        <v>3.0139999999999998</v>
      </c>
      <c r="U83" s="24">
        <v>0.47099999999999997</v>
      </c>
      <c r="V83" s="7">
        <v>18748</v>
      </c>
      <c r="W83" s="7">
        <v>100</v>
      </c>
      <c r="X83" s="7">
        <v>26.8</v>
      </c>
      <c r="Y83" s="7"/>
      <c r="Z83" s="7"/>
      <c r="AA83" s="7"/>
      <c r="AB83" s="7">
        <v>2.5779999999999998</v>
      </c>
      <c r="AC83" s="7">
        <v>0.35399999999999998</v>
      </c>
      <c r="AD83" s="7">
        <v>48.9</v>
      </c>
      <c r="AE83" s="7">
        <v>2.8620000000000001</v>
      </c>
      <c r="AF83" s="7">
        <v>2.8620000000000001</v>
      </c>
      <c r="AG83" s="7">
        <v>2.7210000000000001</v>
      </c>
    </row>
    <row r="84" spans="1:33" ht="12.75" customHeight="1">
      <c r="A84" s="3" t="s">
        <v>33</v>
      </c>
      <c r="B84" s="12" t="s">
        <v>245</v>
      </c>
      <c r="C84" s="12" t="s">
        <v>245</v>
      </c>
      <c r="D84" s="7" t="s">
        <v>201</v>
      </c>
      <c r="E84" s="12" t="s">
        <v>245</v>
      </c>
      <c r="F84" s="7" t="s">
        <v>202</v>
      </c>
      <c r="G84" s="7"/>
      <c r="H84" s="7" t="s">
        <v>246</v>
      </c>
      <c r="I84" s="7"/>
      <c r="J84" s="7"/>
      <c r="K84" s="16" t="s">
        <v>204</v>
      </c>
      <c r="L84" s="7" t="s">
        <v>92</v>
      </c>
      <c r="M84" s="7"/>
      <c r="N84" s="7"/>
      <c r="O84" s="7"/>
      <c r="P84" s="7"/>
      <c r="Q84" s="6"/>
      <c r="R84" s="7"/>
      <c r="S84" s="7"/>
      <c r="T84" s="83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ht="12.75" customHeight="1">
      <c r="A85" s="3" t="s">
        <v>33</v>
      </c>
      <c r="B85" s="12" t="s">
        <v>247</v>
      </c>
      <c r="C85" s="12" t="s">
        <v>247</v>
      </c>
      <c r="D85" s="4" t="s">
        <v>248</v>
      </c>
      <c r="E85" s="12" t="s">
        <v>247</v>
      </c>
      <c r="F85" s="4" t="s">
        <v>202</v>
      </c>
      <c r="G85" s="7"/>
      <c r="H85" s="4" t="s">
        <v>249</v>
      </c>
      <c r="I85" s="7"/>
      <c r="J85" s="7"/>
      <c r="K85" s="5" t="s">
        <v>204</v>
      </c>
      <c r="L85" s="7" t="s">
        <v>133</v>
      </c>
      <c r="M85" s="7"/>
      <c r="N85" s="7"/>
      <c r="O85" s="7"/>
      <c r="P85" s="7"/>
      <c r="Q85" s="6"/>
      <c r="R85" s="7"/>
      <c r="S85" s="7"/>
      <c r="T85" s="83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 spans="1:33" ht="12.75" customHeight="1">
      <c r="A86" s="3" t="s">
        <v>33</v>
      </c>
      <c r="B86" s="12" t="s">
        <v>250</v>
      </c>
      <c r="C86" s="12" t="s">
        <v>250</v>
      </c>
      <c r="D86" s="4" t="s">
        <v>248</v>
      </c>
      <c r="E86" s="12" t="s">
        <v>250</v>
      </c>
      <c r="F86" s="4" t="s">
        <v>202</v>
      </c>
      <c r="G86" s="7"/>
      <c r="H86" s="4" t="s">
        <v>249</v>
      </c>
      <c r="I86" s="7"/>
      <c r="J86" s="7"/>
      <c r="K86" s="5" t="s">
        <v>204</v>
      </c>
      <c r="L86" s="7" t="s">
        <v>251</v>
      </c>
      <c r="M86" s="7"/>
      <c r="N86" s="7"/>
      <c r="O86" s="7"/>
      <c r="P86" s="7"/>
      <c r="Q86" s="6"/>
      <c r="R86" s="7"/>
      <c r="S86" s="7"/>
      <c r="T86" s="83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ht="12.75" customHeight="1">
      <c r="A87" s="3" t="s">
        <v>33</v>
      </c>
      <c r="B87" s="12" t="s">
        <v>252</v>
      </c>
      <c r="C87" s="12" t="s">
        <v>252</v>
      </c>
      <c r="D87" s="4" t="s">
        <v>248</v>
      </c>
      <c r="E87" s="12" t="s">
        <v>252</v>
      </c>
      <c r="F87" s="4" t="s">
        <v>202</v>
      </c>
      <c r="G87" s="7"/>
      <c r="H87" s="4" t="s">
        <v>249</v>
      </c>
      <c r="I87" s="7"/>
      <c r="J87" s="7"/>
      <c r="K87" s="5" t="s">
        <v>204</v>
      </c>
      <c r="L87" s="7" t="s">
        <v>92</v>
      </c>
      <c r="M87" s="7"/>
      <c r="N87" s="7"/>
      <c r="O87" s="7"/>
      <c r="P87" s="7"/>
      <c r="Q87" s="6"/>
      <c r="R87" s="7"/>
      <c r="S87" s="7"/>
      <c r="T87" s="83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ht="12.75" customHeight="1">
      <c r="A88" s="3" t="s">
        <v>33</v>
      </c>
      <c r="B88" s="12" t="s">
        <v>253</v>
      </c>
      <c r="C88" s="12" t="s">
        <v>253</v>
      </c>
      <c r="D88" s="4" t="s">
        <v>248</v>
      </c>
      <c r="E88" s="12" t="s">
        <v>253</v>
      </c>
      <c r="F88" s="4" t="s">
        <v>202</v>
      </c>
      <c r="G88" s="7"/>
      <c r="H88" s="4" t="s">
        <v>249</v>
      </c>
      <c r="I88" s="7"/>
      <c r="J88" s="7"/>
      <c r="K88" s="5" t="s">
        <v>204</v>
      </c>
      <c r="L88" s="7" t="s">
        <v>45</v>
      </c>
      <c r="M88" s="7"/>
      <c r="N88" s="7"/>
      <c r="O88" s="7"/>
      <c r="P88" s="7"/>
      <c r="Q88" s="6"/>
      <c r="R88" s="7"/>
      <c r="S88" s="7"/>
      <c r="T88" s="83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ht="12.75" customHeight="1">
      <c r="A89" s="3" t="s">
        <v>33</v>
      </c>
      <c r="B89" s="12" t="s">
        <v>254</v>
      </c>
      <c r="C89" s="12" t="s">
        <v>254</v>
      </c>
      <c r="D89" s="7" t="s">
        <v>248</v>
      </c>
      <c r="E89" s="12" t="s">
        <v>254</v>
      </c>
      <c r="F89" s="7" t="s">
        <v>202</v>
      </c>
      <c r="G89" s="7"/>
      <c r="H89" s="7" t="s">
        <v>235</v>
      </c>
      <c r="I89" s="7"/>
      <c r="J89" s="7"/>
      <c r="K89" s="16" t="s">
        <v>204</v>
      </c>
      <c r="L89" s="10" t="s">
        <v>255</v>
      </c>
      <c r="M89" s="7" t="s">
        <v>51</v>
      </c>
      <c r="N89" s="7">
        <v>0.65400000000000003</v>
      </c>
      <c r="O89" s="7">
        <v>0.23</v>
      </c>
      <c r="P89" s="7">
        <v>24.05</v>
      </c>
      <c r="Q89" s="6" t="s">
        <v>52</v>
      </c>
      <c r="R89" s="7" t="s">
        <v>256</v>
      </c>
      <c r="S89" s="7" t="s">
        <v>257</v>
      </c>
      <c r="T89" s="83">
        <v>2.5910000000000002</v>
      </c>
      <c r="U89" s="7">
        <v>0.22700000000000001</v>
      </c>
      <c r="V89" s="7">
        <v>28763</v>
      </c>
      <c r="W89" s="7">
        <v>95.4</v>
      </c>
      <c r="X89" s="7">
        <v>27.2</v>
      </c>
      <c r="Y89" s="7"/>
      <c r="Z89" s="7"/>
      <c r="AA89" s="7"/>
      <c r="AB89" s="7">
        <v>2.5499999999999998</v>
      </c>
      <c r="AC89" s="7">
        <v>0.186</v>
      </c>
      <c r="AD89" s="7">
        <v>77.8</v>
      </c>
      <c r="AE89" s="7">
        <v>2.7759999999999998</v>
      </c>
      <c r="AF89" s="7">
        <v>2.7759999999999998</v>
      </c>
      <c r="AG89" s="7">
        <v>2.5499999999999998</v>
      </c>
    </row>
    <row r="90" spans="1:33" s="46" customFormat="1" ht="12.75" customHeight="1">
      <c r="A90" s="41"/>
      <c r="B90" s="42"/>
      <c r="C90" s="42"/>
      <c r="D90" s="43"/>
      <c r="E90" s="42" t="s">
        <v>254</v>
      </c>
      <c r="F90" s="43"/>
      <c r="G90" s="43"/>
      <c r="H90" s="43"/>
      <c r="I90" s="43"/>
      <c r="J90" s="43"/>
      <c r="K90" s="44"/>
      <c r="L90" s="43" t="s">
        <v>238</v>
      </c>
      <c r="M90" s="43" t="s">
        <v>51</v>
      </c>
      <c r="N90" s="43">
        <v>0.82499999999999996</v>
      </c>
      <c r="O90" s="43">
        <v>0.23</v>
      </c>
      <c r="P90" s="43">
        <v>28.4</v>
      </c>
      <c r="Q90" s="45" t="s">
        <v>52</v>
      </c>
      <c r="R90" s="43" t="s">
        <v>209</v>
      </c>
      <c r="S90" s="43" t="s">
        <v>258</v>
      </c>
      <c r="T90" s="83">
        <v>2.7810000000000001</v>
      </c>
      <c r="U90" s="43">
        <v>0.13700000000000001</v>
      </c>
      <c r="V90" s="43">
        <v>88614</v>
      </c>
      <c r="W90" s="43">
        <v>95.2</v>
      </c>
      <c r="X90" s="43">
        <v>7.3</v>
      </c>
      <c r="Y90" s="43">
        <v>11577</v>
      </c>
      <c r="Z90" s="43">
        <v>87</v>
      </c>
      <c r="AA90" s="43"/>
      <c r="AB90" s="43">
        <v>2.6349999999999998</v>
      </c>
      <c r="AC90" s="43">
        <v>0.12</v>
      </c>
      <c r="AD90" s="43">
        <v>70.8</v>
      </c>
      <c r="AE90" s="43">
        <v>2.9710000000000001</v>
      </c>
      <c r="AF90" s="43">
        <v>2.8889999999999998</v>
      </c>
      <c r="AG90" s="43">
        <v>2.706</v>
      </c>
    </row>
    <row r="91" spans="1:33" ht="12.75" customHeight="1">
      <c r="A91" s="3"/>
      <c r="B91" s="12"/>
      <c r="C91" s="12"/>
      <c r="D91" s="7"/>
      <c r="E91" s="12"/>
      <c r="F91" s="7"/>
      <c r="G91" s="7"/>
      <c r="H91" s="7"/>
      <c r="I91" s="7"/>
      <c r="J91" s="7"/>
      <c r="K91" s="16"/>
      <c r="L91" s="10" t="s">
        <v>259</v>
      </c>
      <c r="M91" s="7"/>
      <c r="N91" s="7"/>
      <c r="O91" s="7"/>
      <c r="P91" s="7"/>
      <c r="Q91" s="6"/>
      <c r="R91" s="7" t="s">
        <v>260</v>
      </c>
      <c r="S91" s="7"/>
      <c r="T91" s="83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 spans="1:33" ht="12.75" customHeight="1">
      <c r="A92" s="3"/>
      <c r="B92" s="12"/>
      <c r="C92" s="12"/>
      <c r="D92" s="7"/>
      <c r="E92" s="12"/>
      <c r="F92" s="7"/>
      <c r="G92" s="7"/>
      <c r="H92" s="7"/>
      <c r="I92" s="7"/>
      <c r="J92" s="7"/>
      <c r="K92" s="16"/>
      <c r="L92" s="10" t="s">
        <v>261</v>
      </c>
      <c r="M92" s="7" t="s">
        <v>51</v>
      </c>
      <c r="N92" s="7">
        <v>0.80300000000000005</v>
      </c>
      <c r="O92" s="7">
        <v>0.23</v>
      </c>
      <c r="P92" s="7">
        <v>26.56</v>
      </c>
      <c r="Q92" s="6" t="s">
        <v>52</v>
      </c>
      <c r="R92" s="7" t="s">
        <v>228</v>
      </c>
      <c r="S92" s="7" t="s">
        <v>262</v>
      </c>
      <c r="T92" s="83">
        <v>2.6869999999999998</v>
      </c>
      <c r="U92" s="7">
        <v>0.16300000000000001</v>
      </c>
      <c r="V92" s="7">
        <v>51546</v>
      </c>
      <c r="W92" s="7">
        <v>96.7</v>
      </c>
      <c r="X92" s="7">
        <v>14</v>
      </c>
      <c r="Y92" s="7"/>
      <c r="Z92" s="7"/>
      <c r="AA92" s="7"/>
      <c r="AB92" s="7">
        <v>2.6139999999999999</v>
      </c>
      <c r="AC92" s="7">
        <v>0.14099999999999999</v>
      </c>
      <c r="AD92" s="7">
        <v>77.599999999999994</v>
      </c>
      <c r="AE92" s="7">
        <v>2.8719999999999999</v>
      </c>
      <c r="AF92" s="7">
        <v>2.7989999999999999</v>
      </c>
      <c r="AG92" s="7"/>
    </row>
    <row r="93" spans="1:33" ht="12.75" customHeight="1">
      <c r="A93" s="3"/>
      <c r="B93" s="12"/>
      <c r="C93" s="12"/>
      <c r="D93" s="7"/>
      <c r="E93" s="12"/>
      <c r="F93" s="7"/>
      <c r="G93" s="7"/>
      <c r="H93" s="7"/>
      <c r="I93" s="7"/>
      <c r="J93" s="7"/>
      <c r="K93" s="16"/>
      <c r="L93" s="10" t="s">
        <v>211</v>
      </c>
      <c r="M93" s="7" t="s">
        <v>51</v>
      </c>
      <c r="N93" s="7">
        <v>0.88900000000000001</v>
      </c>
      <c r="O93" s="7">
        <v>0.25</v>
      </c>
      <c r="P93">
        <v>23.4</v>
      </c>
      <c r="Q93" s="6" t="s">
        <v>52</v>
      </c>
      <c r="R93" s="7" t="s">
        <v>212</v>
      </c>
      <c r="S93" s="7" t="s">
        <v>263</v>
      </c>
      <c r="T93" s="83">
        <v>2.59</v>
      </c>
      <c r="U93" s="7">
        <v>0.19900000000000001</v>
      </c>
      <c r="V93" s="7">
        <v>28731</v>
      </c>
      <c r="W93" s="7">
        <v>94.8</v>
      </c>
      <c r="X93" s="7">
        <v>27.3</v>
      </c>
      <c r="Y93" s="7"/>
      <c r="Z93" s="7"/>
      <c r="AA93" s="7"/>
      <c r="AB93" s="7">
        <v>2.58</v>
      </c>
      <c r="AC93" s="7">
        <v>0.16900000000000001</v>
      </c>
      <c r="AD93" s="7">
        <v>80.5</v>
      </c>
      <c r="AE93" s="7">
        <v>2.7709999999999999</v>
      </c>
      <c r="AF93" s="7">
        <v>2.7709999999999999</v>
      </c>
      <c r="AG93" s="7">
        <v>2.5649999999999999</v>
      </c>
    </row>
    <row r="94" spans="1:33" ht="12.75" customHeight="1">
      <c r="A94" s="3" t="s">
        <v>33</v>
      </c>
      <c r="B94" s="12" t="s">
        <v>264</v>
      </c>
      <c r="C94" s="12" t="s">
        <v>264</v>
      </c>
      <c r="D94" s="4" t="s">
        <v>248</v>
      </c>
      <c r="E94" s="12" t="s">
        <v>264</v>
      </c>
      <c r="F94" s="4" t="s">
        <v>202</v>
      </c>
      <c r="G94" s="7"/>
      <c r="H94" s="4" t="s">
        <v>265</v>
      </c>
      <c r="I94" s="7"/>
      <c r="J94" s="7"/>
      <c r="K94" s="5" t="s">
        <v>204</v>
      </c>
      <c r="L94" s="7" t="s">
        <v>92</v>
      </c>
      <c r="M94" s="7"/>
      <c r="N94" s="7"/>
      <c r="O94" s="7"/>
      <c r="P94" s="7"/>
      <c r="Q94" s="6"/>
      <c r="R94" s="7"/>
      <c r="S94" s="7"/>
      <c r="T94" s="83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ht="12.75" customHeight="1">
      <c r="A95" s="3" t="s">
        <v>33</v>
      </c>
      <c r="B95" s="12" t="s">
        <v>266</v>
      </c>
      <c r="C95" s="12" t="s">
        <v>266</v>
      </c>
      <c r="D95" s="4" t="s">
        <v>248</v>
      </c>
      <c r="E95" s="12" t="s">
        <v>266</v>
      </c>
      <c r="F95" s="4" t="s">
        <v>202</v>
      </c>
      <c r="G95" s="7"/>
      <c r="H95" s="4" t="s">
        <v>265</v>
      </c>
      <c r="I95" s="7"/>
      <c r="J95" s="7"/>
      <c r="K95" s="5" t="s">
        <v>204</v>
      </c>
      <c r="L95" s="10" t="s">
        <v>267</v>
      </c>
      <c r="M95" s="7" t="s">
        <v>51</v>
      </c>
      <c r="N95" s="7">
        <v>0.746</v>
      </c>
      <c r="O95" s="7">
        <v>0.65</v>
      </c>
      <c r="P95" s="7">
        <v>9.23</v>
      </c>
      <c r="Q95" s="6" t="s">
        <v>52</v>
      </c>
      <c r="R95" s="7" t="s">
        <v>206</v>
      </c>
      <c r="S95" s="7" t="s">
        <v>268</v>
      </c>
      <c r="T95" s="83">
        <v>3.1269999999999998</v>
      </c>
      <c r="U95" s="24">
        <v>0.437</v>
      </c>
      <c r="V95" s="7">
        <v>32224</v>
      </c>
      <c r="W95" s="7">
        <v>94.4</v>
      </c>
      <c r="X95" s="7">
        <v>13.1</v>
      </c>
      <c r="Y95" s="7"/>
      <c r="Z95" s="7"/>
      <c r="AA95" s="7"/>
      <c r="AB95" s="7">
        <v>2.7040000000000002</v>
      </c>
      <c r="AC95" s="7">
        <v>0.439</v>
      </c>
      <c r="AD95" s="7">
        <v>66.5</v>
      </c>
      <c r="AE95" s="7">
        <v>3.093</v>
      </c>
      <c r="AF95" s="7">
        <v>3.137</v>
      </c>
      <c r="AG95" s="7">
        <v>2.7360000000000002</v>
      </c>
    </row>
    <row r="96" spans="1:33" ht="12.75" customHeight="1">
      <c r="A96" s="3"/>
      <c r="B96" s="12"/>
      <c r="C96" s="12"/>
      <c r="D96" s="4"/>
      <c r="E96" s="12"/>
      <c r="F96" s="4"/>
      <c r="G96" s="7"/>
      <c r="H96" s="4"/>
      <c r="I96" s="7"/>
      <c r="J96" s="7"/>
      <c r="K96" s="5"/>
      <c r="L96" s="10" t="s">
        <v>208</v>
      </c>
      <c r="M96" s="7" t="s">
        <v>51</v>
      </c>
      <c r="N96" s="7">
        <v>0.73699999999999999</v>
      </c>
      <c r="O96" s="7">
        <v>0.65</v>
      </c>
      <c r="P96" s="7">
        <v>11.65</v>
      </c>
      <c r="Q96" s="6" t="s">
        <v>52</v>
      </c>
      <c r="R96" s="7" t="s">
        <v>209</v>
      </c>
      <c r="S96" s="7" t="s">
        <v>269</v>
      </c>
      <c r="T96" s="83">
        <v>3.0310000000000001</v>
      </c>
      <c r="U96" s="24">
        <v>0.56000000000000005</v>
      </c>
      <c r="V96" s="7">
        <v>67828</v>
      </c>
      <c r="W96" s="7">
        <v>93.6</v>
      </c>
      <c r="X96" s="7">
        <v>7.1</v>
      </c>
      <c r="Y96" s="7"/>
      <c r="Z96" s="7"/>
      <c r="AA96" s="7"/>
      <c r="AB96" s="7">
        <v>2.7570000000000001</v>
      </c>
      <c r="AC96" s="7">
        <v>0.45200000000000001</v>
      </c>
      <c r="AD96" s="7">
        <v>63.8</v>
      </c>
      <c r="AE96" s="7">
        <v>3.222</v>
      </c>
      <c r="AF96" s="7">
        <v>3.1749999999999998</v>
      </c>
      <c r="AG96" s="7">
        <v>2.7930000000000001</v>
      </c>
    </row>
    <row r="97" spans="1:33" ht="12.75" customHeight="1">
      <c r="A97" s="3"/>
      <c r="B97" s="12"/>
      <c r="C97" s="12"/>
      <c r="D97" s="4"/>
      <c r="E97" s="12"/>
      <c r="F97" s="4"/>
      <c r="G97" s="7"/>
      <c r="H97" s="4"/>
      <c r="I97" s="7"/>
      <c r="J97" s="7"/>
      <c r="K97" s="5"/>
      <c r="L97" s="10" t="s">
        <v>211</v>
      </c>
      <c r="M97" s="7" t="s">
        <v>51</v>
      </c>
      <c r="N97" s="7">
        <v>0.68200000000000005</v>
      </c>
      <c r="O97" s="7">
        <v>0.6</v>
      </c>
      <c r="P97" s="7">
        <v>6.17</v>
      </c>
      <c r="Q97" s="6" t="s">
        <v>52</v>
      </c>
      <c r="R97" s="7" t="s">
        <v>212</v>
      </c>
      <c r="S97" s="7" t="s">
        <v>270</v>
      </c>
      <c r="T97" s="83">
        <v>2.7669999999999999</v>
      </c>
      <c r="U97" s="24">
        <v>0.80400000000000005</v>
      </c>
      <c r="V97" s="7">
        <v>23829</v>
      </c>
      <c r="W97" s="7">
        <v>96.1</v>
      </c>
      <c r="X97" s="7">
        <v>25</v>
      </c>
      <c r="Y97" s="7"/>
      <c r="Z97" s="7"/>
      <c r="AA97" s="7"/>
      <c r="AB97" s="7">
        <v>2.59</v>
      </c>
      <c r="AC97" s="7">
        <v>0.63</v>
      </c>
      <c r="AD97" s="7">
        <v>69.900000000000006</v>
      </c>
      <c r="AE97" s="7">
        <v>2.9460000000000002</v>
      </c>
      <c r="AF97" s="7">
        <v>2.9460000000000002</v>
      </c>
      <c r="AG97" s="7">
        <v>2.5939999999999999</v>
      </c>
    </row>
    <row r="98" spans="1:33" ht="12.75" customHeight="1">
      <c r="A98" s="3" t="s">
        <v>33</v>
      </c>
      <c r="B98" s="12" t="s">
        <v>271</v>
      </c>
      <c r="C98" s="12" t="s">
        <v>271</v>
      </c>
      <c r="D98" s="4" t="s">
        <v>272</v>
      </c>
      <c r="E98" s="12" t="s">
        <v>271</v>
      </c>
      <c r="F98" s="4" t="s">
        <v>273</v>
      </c>
      <c r="G98" s="7"/>
      <c r="H98" s="4" t="s">
        <v>274</v>
      </c>
      <c r="I98" s="7"/>
      <c r="J98" s="7"/>
      <c r="K98" s="5" t="s">
        <v>204</v>
      </c>
      <c r="L98" s="7" t="s">
        <v>45</v>
      </c>
      <c r="M98" s="7"/>
      <c r="N98" s="7"/>
      <c r="O98" s="7"/>
      <c r="P98" s="7"/>
      <c r="Q98" s="6"/>
      <c r="R98" s="7"/>
      <c r="S98" s="7"/>
      <c r="T98" s="83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ht="12.75" customHeight="1">
      <c r="A99" s="3" t="s">
        <v>33</v>
      </c>
      <c r="B99" s="12" t="s">
        <v>275</v>
      </c>
      <c r="C99" s="12" t="s">
        <v>275</v>
      </c>
      <c r="D99" s="4" t="s">
        <v>272</v>
      </c>
      <c r="E99" s="12" t="s">
        <v>275</v>
      </c>
      <c r="F99" s="4" t="s">
        <v>273</v>
      </c>
      <c r="G99" s="7"/>
      <c r="H99" s="4" t="s">
        <v>274</v>
      </c>
      <c r="I99" s="7"/>
      <c r="J99" s="7"/>
      <c r="K99" s="5" t="s">
        <v>204</v>
      </c>
      <c r="L99" s="13" t="s">
        <v>116</v>
      </c>
      <c r="M99" s="7"/>
      <c r="N99" s="7"/>
      <c r="O99" s="7"/>
      <c r="P99" s="7"/>
      <c r="Q99" s="6"/>
      <c r="R99" s="7"/>
      <c r="S99" s="7"/>
      <c r="T99" s="83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 spans="1:33">
      <c r="A100" s="3" t="s">
        <v>33</v>
      </c>
      <c r="B100" s="12" t="s">
        <v>276</v>
      </c>
      <c r="C100" s="12" t="s">
        <v>276</v>
      </c>
      <c r="D100" s="4" t="s">
        <v>277</v>
      </c>
      <c r="E100" s="12" t="s">
        <v>276</v>
      </c>
      <c r="F100" s="4" t="s">
        <v>278</v>
      </c>
      <c r="G100" s="7"/>
      <c r="H100" s="4" t="s">
        <v>279</v>
      </c>
      <c r="I100" s="7"/>
      <c r="J100" s="7"/>
      <c r="K100" s="5" t="s">
        <v>204</v>
      </c>
      <c r="L100" s="7" t="s">
        <v>45</v>
      </c>
      <c r="M100" s="7"/>
      <c r="N100" s="7"/>
      <c r="O100" s="7"/>
      <c r="P100" s="7"/>
      <c r="Q100" s="6"/>
      <c r="R100" s="7"/>
      <c r="S100" s="7"/>
      <c r="T100" s="83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>
      <c r="A101" s="3" t="s">
        <v>33</v>
      </c>
      <c r="B101" s="12" t="s">
        <v>280</v>
      </c>
      <c r="C101" s="12" t="s">
        <v>280</v>
      </c>
      <c r="D101" s="4" t="s">
        <v>277</v>
      </c>
      <c r="E101" s="12" t="s">
        <v>280</v>
      </c>
      <c r="F101" s="4" t="s">
        <v>278</v>
      </c>
      <c r="G101" s="7"/>
      <c r="H101" s="4" t="s">
        <v>279</v>
      </c>
      <c r="I101" s="7"/>
      <c r="J101" s="7"/>
      <c r="K101" s="5" t="s">
        <v>204</v>
      </c>
      <c r="L101" s="7" t="s">
        <v>45</v>
      </c>
      <c r="M101" s="7"/>
      <c r="N101" s="7"/>
      <c r="O101" s="7"/>
      <c r="P101" s="7"/>
      <c r="Q101" s="6"/>
      <c r="R101" s="7"/>
      <c r="S101" s="7"/>
      <c r="T101" s="83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 spans="1:33">
      <c r="A102" s="3" t="s">
        <v>33</v>
      </c>
      <c r="B102" s="12" t="s">
        <v>281</v>
      </c>
      <c r="C102" s="12" t="s">
        <v>281</v>
      </c>
      <c r="D102" s="4" t="s">
        <v>277</v>
      </c>
      <c r="E102" s="12" t="s">
        <v>281</v>
      </c>
      <c r="F102" s="4" t="s">
        <v>278</v>
      </c>
      <c r="G102" s="7"/>
      <c r="H102" s="4" t="s">
        <v>279</v>
      </c>
      <c r="I102" s="7"/>
      <c r="J102" s="7"/>
      <c r="K102" s="5" t="s">
        <v>204</v>
      </c>
      <c r="L102" s="7" t="s">
        <v>45</v>
      </c>
      <c r="M102" s="7"/>
      <c r="N102" s="7"/>
      <c r="O102" s="7"/>
      <c r="P102" s="7"/>
      <c r="Q102" s="6"/>
      <c r="R102" s="7"/>
      <c r="S102" s="7"/>
      <c r="T102" s="83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 spans="1:33">
      <c r="A103" s="3" t="s">
        <v>33</v>
      </c>
      <c r="B103" s="12" t="s">
        <v>282</v>
      </c>
      <c r="C103" s="12" t="s">
        <v>282</v>
      </c>
      <c r="D103" s="4" t="s">
        <v>277</v>
      </c>
      <c r="E103" s="12" t="s">
        <v>282</v>
      </c>
      <c r="F103" s="4" t="s">
        <v>283</v>
      </c>
      <c r="G103" s="7"/>
      <c r="H103" s="4" t="s">
        <v>284</v>
      </c>
      <c r="I103" s="7"/>
      <c r="J103" s="7"/>
      <c r="K103" s="5" t="s">
        <v>204</v>
      </c>
      <c r="L103" s="7" t="s">
        <v>92</v>
      </c>
      <c r="M103" s="7"/>
      <c r="N103" s="7"/>
      <c r="O103" s="7"/>
      <c r="P103" s="7"/>
      <c r="Q103" s="6"/>
      <c r="R103" s="7"/>
      <c r="S103" s="7"/>
      <c r="T103" s="83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 spans="1:33">
      <c r="A104" s="3" t="s">
        <v>33</v>
      </c>
      <c r="B104" s="12" t="s">
        <v>285</v>
      </c>
      <c r="C104" s="12" t="s">
        <v>285</v>
      </c>
      <c r="D104" s="4" t="s">
        <v>277</v>
      </c>
      <c r="E104" s="12" t="s">
        <v>285</v>
      </c>
      <c r="F104" s="4" t="s">
        <v>283</v>
      </c>
      <c r="G104" s="7"/>
      <c r="H104" s="4" t="s">
        <v>284</v>
      </c>
      <c r="I104" s="7"/>
      <c r="J104" s="7"/>
      <c r="K104" s="5" t="s">
        <v>204</v>
      </c>
      <c r="L104" s="7" t="s">
        <v>92</v>
      </c>
      <c r="M104" s="7"/>
      <c r="N104" s="7"/>
      <c r="O104" s="7"/>
      <c r="P104" s="7"/>
      <c r="Q104" s="6"/>
      <c r="R104" s="7"/>
      <c r="S104" s="7"/>
      <c r="T104" s="83" t="s">
        <v>286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1:33">
      <c r="A105" s="3" t="s">
        <v>33</v>
      </c>
      <c r="B105" s="12" t="s">
        <v>287</v>
      </c>
      <c r="C105" s="12" t="s">
        <v>287</v>
      </c>
      <c r="D105" s="4" t="s">
        <v>288</v>
      </c>
      <c r="E105" s="12" t="s">
        <v>287</v>
      </c>
      <c r="F105" s="4" t="s">
        <v>289</v>
      </c>
      <c r="G105" s="7"/>
      <c r="H105" s="4" t="s">
        <v>290</v>
      </c>
      <c r="I105" s="7"/>
      <c r="J105" s="7"/>
      <c r="K105" s="5" t="s">
        <v>204</v>
      </c>
      <c r="L105" s="7" t="s">
        <v>92</v>
      </c>
      <c r="M105" s="7"/>
      <c r="N105" s="7"/>
      <c r="O105" s="7"/>
      <c r="P105" s="7"/>
      <c r="Q105" s="6"/>
      <c r="R105" s="7"/>
      <c r="S105" s="7"/>
      <c r="T105" s="83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 spans="1:33">
      <c r="A106" s="3" t="s">
        <v>33</v>
      </c>
      <c r="B106" s="12" t="s">
        <v>291</v>
      </c>
      <c r="C106" s="12" t="s">
        <v>291</v>
      </c>
      <c r="D106" s="4" t="s">
        <v>288</v>
      </c>
      <c r="E106" s="12" t="s">
        <v>291</v>
      </c>
      <c r="F106" s="4" t="s">
        <v>289</v>
      </c>
      <c r="G106" s="7"/>
      <c r="H106" s="4" t="s">
        <v>290</v>
      </c>
      <c r="I106" s="7"/>
      <c r="J106" s="7"/>
      <c r="K106" s="5" t="s">
        <v>204</v>
      </c>
      <c r="L106" s="7" t="s">
        <v>292</v>
      </c>
      <c r="M106" s="7"/>
      <c r="N106" s="7"/>
      <c r="O106" s="7"/>
      <c r="P106" s="7"/>
      <c r="Q106" s="6"/>
      <c r="R106" s="7"/>
      <c r="S106" s="7"/>
      <c r="T106" s="83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 spans="1:33">
      <c r="A107" s="3" t="s">
        <v>33</v>
      </c>
      <c r="B107" s="12" t="s">
        <v>293</v>
      </c>
      <c r="C107" s="12" t="s">
        <v>293</v>
      </c>
      <c r="D107" s="4" t="s">
        <v>288</v>
      </c>
      <c r="E107" s="12" t="s">
        <v>293</v>
      </c>
      <c r="F107" s="4" t="s">
        <v>289</v>
      </c>
      <c r="G107" s="7"/>
      <c r="H107" s="4" t="s">
        <v>294</v>
      </c>
      <c r="I107" s="7"/>
      <c r="J107" s="7"/>
      <c r="K107" s="5" t="s">
        <v>204</v>
      </c>
      <c r="L107" s="7" t="s">
        <v>295</v>
      </c>
      <c r="M107" s="7"/>
      <c r="N107" s="7"/>
      <c r="O107" s="7"/>
      <c r="P107" s="7"/>
      <c r="Q107" s="6"/>
      <c r="R107" s="7"/>
      <c r="S107" s="7"/>
      <c r="T107" s="83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 spans="1:33">
      <c r="A108" s="3" t="s">
        <v>33</v>
      </c>
      <c r="B108" s="12" t="s">
        <v>296</v>
      </c>
      <c r="C108" s="12" t="s">
        <v>296</v>
      </c>
      <c r="D108" s="4" t="s">
        <v>288</v>
      </c>
      <c r="E108" s="12" t="s">
        <v>296</v>
      </c>
      <c r="F108" s="4" t="s">
        <v>289</v>
      </c>
      <c r="G108" s="7"/>
      <c r="H108" s="4" t="s">
        <v>294</v>
      </c>
      <c r="I108" s="7"/>
      <c r="J108" s="7"/>
      <c r="K108" s="5" t="s">
        <v>204</v>
      </c>
      <c r="L108" s="7" t="s">
        <v>297</v>
      </c>
      <c r="M108" s="7"/>
      <c r="N108" s="7"/>
      <c r="O108" s="7"/>
      <c r="P108" s="7"/>
      <c r="Q108" s="6"/>
      <c r="R108" s="7"/>
      <c r="S108" s="7"/>
      <c r="T108" s="83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 spans="1:33">
      <c r="A109" s="3" t="s">
        <v>33</v>
      </c>
      <c r="B109" s="12" t="s">
        <v>298</v>
      </c>
      <c r="C109" s="12" t="s">
        <v>298</v>
      </c>
      <c r="D109" s="4" t="s">
        <v>288</v>
      </c>
      <c r="E109" s="12" t="s">
        <v>298</v>
      </c>
      <c r="F109" s="4" t="s">
        <v>289</v>
      </c>
      <c r="G109" s="7"/>
      <c r="H109" s="4" t="s">
        <v>294</v>
      </c>
      <c r="I109" s="7"/>
      <c r="J109" s="7"/>
      <c r="K109" s="5" t="s">
        <v>204</v>
      </c>
      <c r="L109" s="7" t="s">
        <v>92</v>
      </c>
      <c r="M109" s="7"/>
      <c r="N109" s="7"/>
      <c r="O109" s="7"/>
      <c r="P109" s="7"/>
      <c r="Q109" s="6"/>
      <c r="R109" s="7"/>
      <c r="S109" s="7"/>
      <c r="T109" s="83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  <row r="110" spans="1:33">
      <c r="A110" s="3" t="s">
        <v>33</v>
      </c>
      <c r="B110" s="12" t="s">
        <v>299</v>
      </c>
      <c r="C110" s="12" t="s">
        <v>299</v>
      </c>
      <c r="D110" s="4" t="s">
        <v>288</v>
      </c>
      <c r="E110" s="12" t="s">
        <v>299</v>
      </c>
      <c r="F110" s="4" t="s">
        <v>300</v>
      </c>
      <c r="G110" s="7"/>
      <c r="H110" s="4" t="s">
        <v>301</v>
      </c>
      <c r="I110" s="7"/>
      <c r="J110" s="7"/>
      <c r="K110" s="5" t="s">
        <v>204</v>
      </c>
      <c r="L110" s="7" t="s">
        <v>45</v>
      </c>
      <c r="M110" s="7"/>
      <c r="N110" s="7"/>
      <c r="O110" s="7"/>
      <c r="P110" s="7"/>
      <c r="Q110" s="6"/>
      <c r="R110" s="7"/>
      <c r="S110" s="7"/>
      <c r="T110" s="83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 spans="1:33">
      <c r="A111" s="3" t="s">
        <v>33</v>
      </c>
      <c r="B111" s="12" t="s">
        <v>302</v>
      </c>
      <c r="C111" s="12" t="s">
        <v>302</v>
      </c>
      <c r="D111" s="4" t="s">
        <v>288</v>
      </c>
      <c r="E111" s="12" t="s">
        <v>302</v>
      </c>
      <c r="F111" s="4" t="s">
        <v>300</v>
      </c>
      <c r="G111" s="7"/>
      <c r="H111" s="4" t="s">
        <v>301</v>
      </c>
      <c r="I111" s="7"/>
      <c r="J111" s="7"/>
      <c r="K111" s="5" t="s">
        <v>204</v>
      </c>
      <c r="L111" s="7" t="s">
        <v>45</v>
      </c>
      <c r="M111" s="7"/>
      <c r="N111" s="7"/>
      <c r="O111" s="7"/>
      <c r="P111" s="7"/>
      <c r="Q111" s="6"/>
      <c r="R111" s="7"/>
      <c r="S111" s="7"/>
      <c r="T111" s="83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 spans="1:33">
      <c r="A112" s="3" t="s">
        <v>33</v>
      </c>
      <c r="B112" s="12" t="s">
        <v>303</v>
      </c>
      <c r="C112" s="12" t="s">
        <v>303</v>
      </c>
      <c r="D112" s="4" t="s">
        <v>288</v>
      </c>
      <c r="E112" s="12" t="s">
        <v>303</v>
      </c>
      <c r="F112" s="4" t="s">
        <v>300</v>
      </c>
      <c r="G112" s="7"/>
      <c r="H112" s="4" t="s">
        <v>301</v>
      </c>
      <c r="I112" s="7"/>
      <c r="J112" s="7"/>
      <c r="K112" s="5" t="s">
        <v>204</v>
      </c>
      <c r="L112" s="7" t="s">
        <v>45</v>
      </c>
      <c r="M112" s="7"/>
      <c r="N112" s="7"/>
      <c r="O112" s="7"/>
      <c r="P112" s="7"/>
      <c r="Q112" s="6"/>
      <c r="R112" s="7"/>
      <c r="S112" s="7"/>
      <c r="T112" s="83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 spans="1:33">
      <c r="A113" s="3" t="s">
        <v>33</v>
      </c>
      <c r="B113" s="12" t="s">
        <v>304</v>
      </c>
      <c r="C113" s="12" t="s">
        <v>304</v>
      </c>
      <c r="D113" s="4" t="s">
        <v>288</v>
      </c>
      <c r="E113" s="12" t="s">
        <v>304</v>
      </c>
      <c r="F113" s="4" t="s">
        <v>300</v>
      </c>
      <c r="G113" s="7"/>
      <c r="H113" s="4" t="s">
        <v>305</v>
      </c>
      <c r="I113" s="7"/>
      <c r="J113" s="7"/>
      <c r="K113" s="5" t="s">
        <v>204</v>
      </c>
      <c r="L113" s="7" t="s">
        <v>45</v>
      </c>
      <c r="M113" s="7"/>
      <c r="N113" s="7"/>
      <c r="O113" s="7"/>
      <c r="P113" s="7"/>
      <c r="Q113" s="6"/>
      <c r="R113" s="7"/>
      <c r="S113" s="7"/>
      <c r="T113" s="83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 spans="1:33">
      <c r="A114" s="3" t="s">
        <v>33</v>
      </c>
      <c r="B114" s="12" t="s">
        <v>306</v>
      </c>
      <c r="C114" s="12" t="s">
        <v>306</v>
      </c>
      <c r="D114" s="4" t="s">
        <v>307</v>
      </c>
      <c r="E114" s="12" t="s">
        <v>306</v>
      </c>
      <c r="F114" s="4" t="s">
        <v>308</v>
      </c>
      <c r="G114" s="7"/>
      <c r="H114" s="4" t="s">
        <v>309</v>
      </c>
      <c r="I114" s="7"/>
      <c r="J114" s="7"/>
      <c r="K114" s="5" t="s">
        <v>204</v>
      </c>
      <c r="L114" s="10" t="s">
        <v>310</v>
      </c>
      <c r="M114" s="7" t="s">
        <v>51</v>
      </c>
      <c r="N114" s="7">
        <v>0.90800000000000003</v>
      </c>
      <c r="O114" s="7">
        <v>0.56999999999999995</v>
      </c>
      <c r="P114" s="7">
        <v>12.37</v>
      </c>
      <c r="Q114" s="6" t="s">
        <v>52</v>
      </c>
      <c r="R114" s="7" t="s">
        <v>206</v>
      </c>
      <c r="S114" s="7" t="s">
        <v>311</v>
      </c>
      <c r="T114" s="83">
        <v>2.931</v>
      </c>
      <c r="U114" s="7">
        <v>0.245</v>
      </c>
      <c r="V114" s="7">
        <v>40258</v>
      </c>
      <c r="W114" s="7">
        <v>100</v>
      </c>
      <c r="X114" s="7">
        <v>13.9</v>
      </c>
      <c r="Y114" s="7"/>
      <c r="Z114" s="7"/>
      <c r="AA114" s="7"/>
      <c r="AB114" s="7">
        <v>2.9430000000000001</v>
      </c>
      <c r="AC114" s="7">
        <v>0.223</v>
      </c>
      <c r="AD114" s="7">
        <v>91.4</v>
      </c>
      <c r="AE114" s="7">
        <v>3.01</v>
      </c>
      <c r="AF114" s="7">
        <v>2.984</v>
      </c>
      <c r="AG114" s="7">
        <v>2.9420000000000002</v>
      </c>
    </row>
    <row r="115" spans="1:33" ht="12.75" customHeight="1">
      <c r="A115" s="3"/>
      <c r="B115" s="12"/>
      <c r="C115" s="12"/>
      <c r="D115" s="4"/>
      <c r="E115" s="12"/>
      <c r="F115" s="4"/>
      <c r="G115" s="7"/>
      <c r="H115" s="4"/>
      <c r="I115" s="7"/>
      <c r="J115" s="7"/>
      <c r="K115" s="5"/>
      <c r="L115" s="10" t="s">
        <v>238</v>
      </c>
      <c r="M115" s="7" t="s">
        <v>51</v>
      </c>
      <c r="N115" s="7">
        <v>0.92</v>
      </c>
      <c r="O115" s="7">
        <v>0.56999999999999995</v>
      </c>
      <c r="P115" s="7">
        <v>14.41</v>
      </c>
      <c r="Q115" s="6" t="s">
        <v>52</v>
      </c>
      <c r="R115" s="7" t="s">
        <v>209</v>
      </c>
      <c r="S115" s="7" t="s">
        <v>312</v>
      </c>
      <c r="T115" s="83">
        <v>2.97</v>
      </c>
      <c r="U115" s="7">
        <v>0.223</v>
      </c>
      <c r="V115" s="7">
        <v>73876</v>
      </c>
      <c r="W115" s="7">
        <v>99.1</v>
      </c>
      <c r="X115" s="7">
        <v>7.2</v>
      </c>
      <c r="Y115" s="7"/>
      <c r="Z115" s="7"/>
      <c r="AA115" s="7"/>
      <c r="AB115" s="7">
        <v>2.9860000000000002</v>
      </c>
      <c r="AC115" s="7">
        <v>0.191</v>
      </c>
      <c r="AD115" s="7">
        <v>84.3</v>
      </c>
      <c r="AE115" s="7">
        <v>3.097</v>
      </c>
      <c r="AF115" s="7">
        <v>3.1219999999999999</v>
      </c>
      <c r="AG115" s="7">
        <v>3.0470000000000002</v>
      </c>
    </row>
    <row r="116" spans="1:33" ht="12.75" customHeight="1">
      <c r="A116" s="3"/>
      <c r="B116" s="12"/>
      <c r="C116" s="12"/>
      <c r="D116" s="4"/>
      <c r="E116" s="12"/>
      <c r="F116" s="4"/>
      <c r="G116" s="7"/>
      <c r="H116" s="4"/>
      <c r="I116" s="7"/>
      <c r="J116" s="7"/>
      <c r="K116" s="5"/>
      <c r="L116" s="10" t="s">
        <v>211</v>
      </c>
      <c r="M116" s="7" t="s">
        <v>51</v>
      </c>
      <c r="N116" s="7">
        <v>0.91100000000000003</v>
      </c>
      <c r="O116" s="7">
        <v>0.4</v>
      </c>
      <c r="P116" s="7">
        <v>9.66</v>
      </c>
      <c r="Q116" s="6" t="s">
        <v>52</v>
      </c>
      <c r="R116" s="7" t="s">
        <v>212</v>
      </c>
      <c r="S116" s="7" t="s">
        <v>313</v>
      </c>
      <c r="T116" s="83">
        <v>2.8570000000000002</v>
      </c>
      <c r="U116" s="24">
        <v>0.436</v>
      </c>
      <c r="V116" s="7">
        <v>21843</v>
      </c>
      <c r="W116" s="7">
        <v>100</v>
      </c>
      <c r="X116" s="7">
        <v>27.1</v>
      </c>
      <c r="Y116" s="7"/>
      <c r="Z116" s="7"/>
      <c r="AA116" s="7"/>
      <c r="AB116" s="7">
        <v>2.7120000000000002</v>
      </c>
      <c r="AC116" s="7">
        <v>0.374</v>
      </c>
      <c r="AD116" s="7">
        <v>69.8</v>
      </c>
      <c r="AE116" s="7">
        <v>3.004</v>
      </c>
      <c r="AF116" s="7">
        <v>3.004</v>
      </c>
      <c r="AG116" s="7">
        <v>2.7850000000000001</v>
      </c>
    </row>
    <row r="117" spans="1:33" ht="12.75" customHeight="1">
      <c r="A117" s="3"/>
      <c r="B117" s="12"/>
      <c r="C117" s="12"/>
      <c r="D117" s="4"/>
      <c r="E117" s="12" t="s">
        <v>314</v>
      </c>
      <c r="F117" s="4"/>
      <c r="G117" s="7"/>
      <c r="H117" s="4"/>
      <c r="I117" s="7"/>
      <c r="J117" s="7"/>
      <c r="K117" s="5"/>
      <c r="L117" s="10" t="s">
        <v>315</v>
      </c>
      <c r="M117" s="7" t="s">
        <v>51</v>
      </c>
      <c r="N117" s="7" t="s">
        <v>316</v>
      </c>
      <c r="O117" s="7"/>
      <c r="P117" s="7"/>
      <c r="Q117" s="6"/>
      <c r="R117" s="7"/>
      <c r="S117" s="7"/>
      <c r="T117" s="83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 spans="1:33" ht="12.75" customHeight="1">
      <c r="A118" s="3"/>
      <c r="B118" s="12"/>
      <c r="C118" s="12"/>
      <c r="D118" s="4"/>
      <c r="E118" s="12" t="s">
        <v>317</v>
      </c>
      <c r="F118" s="4"/>
      <c r="G118" s="7"/>
      <c r="H118" s="4"/>
      <c r="I118" s="7"/>
      <c r="J118" s="7"/>
      <c r="K118" s="5"/>
      <c r="L118" s="10" t="s">
        <v>318</v>
      </c>
      <c r="M118" s="7" t="s">
        <v>51</v>
      </c>
      <c r="N118" s="7">
        <v>0.89400000000000002</v>
      </c>
      <c r="O118" s="7">
        <v>0.56000000000000005</v>
      </c>
      <c r="P118" s="7">
        <v>17.739999999999998</v>
      </c>
      <c r="Q118" s="6" t="s">
        <v>52</v>
      </c>
      <c r="R118" s="7" t="s">
        <v>319</v>
      </c>
      <c r="S118" s="7" t="s">
        <v>320</v>
      </c>
      <c r="T118" s="83">
        <v>2.6589999999999998</v>
      </c>
      <c r="U118" s="7">
        <v>0.21</v>
      </c>
      <c r="V118" s="7">
        <v>53138</v>
      </c>
      <c r="W118" s="7">
        <v>99.9</v>
      </c>
      <c r="X118" s="7">
        <v>14.2</v>
      </c>
      <c r="Y118" s="7"/>
      <c r="Z118" s="7"/>
      <c r="AA118" s="7"/>
      <c r="AB118" s="7">
        <v>2.7559999999999998</v>
      </c>
      <c r="AC118" s="7">
        <v>0.155</v>
      </c>
      <c r="AD118" s="7">
        <v>79.400000000000006</v>
      </c>
      <c r="AE118" s="7">
        <v>2.9159999999999999</v>
      </c>
      <c r="AF118" s="7">
        <v>2.7559999999999998</v>
      </c>
      <c r="AG118" s="7">
        <v>2.778</v>
      </c>
    </row>
    <row r="119" spans="1:33" ht="12.75" customHeight="1">
      <c r="A119" s="3"/>
      <c r="B119" s="12"/>
      <c r="C119" s="12"/>
      <c r="D119" s="4"/>
      <c r="E119" s="12"/>
      <c r="F119" s="4"/>
      <c r="G119" s="7"/>
      <c r="H119" s="4"/>
      <c r="I119" s="7"/>
      <c r="J119" s="7"/>
      <c r="K119" s="5"/>
      <c r="L119" s="10" t="s">
        <v>261</v>
      </c>
      <c r="M119" s="7" t="s">
        <v>51</v>
      </c>
      <c r="N119" s="7">
        <v>0.91300000000000003</v>
      </c>
      <c r="O119" s="7">
        <v>0.5</v>
      </c>
      <c r="P119" s="7">
        <v>17.52</v>
      </c>
      <c r="Q119" s="6" t="s">
        <v>52</v>
      </c>
      <c r="R119" s="7" t="s">
        <v>228</v>
      </c>
      <c r="S119" s="7" t="s">
        <v>321</v>
      </c>
      <c r="T119" s="83">
        <v>2.7210000000000001</v>
      </c>
      <c r="U119" s="7">
        <v>0.19400000000000001</v>
      </c>
      <c r="V119" s="7">
        <v>50009</v>
      </c>
      <c r="W119" s="7">
        <v>99.9</v>
      </c>
      <c r="X119" s="7">
        <v>14</v>
      </c>
      <c r="Y119" s="7"/>
      <c r="Z119" s="7"/>
      <c r="AA119" s="7"/>
      <c r="AB119" s="7">
        <v>2.6309999999999998</v>
      </c>
      <c r="AC119" s="7">
        <v>0.16200000000000001</v>
      </c>
      <c r="AD119" s="7">
        <v>70.599999999999994</v>
      </c>
      <c r="AE119" s="7"/>
      <c r="AF119" s="7"/>
      <c r="AG119" s="7"/>
    </row>
    <row r="120" spans="1:33" ht="12.75" customHeight="1">
      <c r="A120" s="3"/>
      <c r="B120" s="12"/>
      <c r="C120" s="12"/>
      <c r="D120" s="4"/>
      <c r="E120" s="12"/>
      <c r="F120" s="4"/>
      <c r="G120" s="7"/>
      <c r="H120" s="4"/>
      <c r="I120" s="7"/>
      <c r="J120" s="7"/>
      <c r="K120" s="5"/>
      <c r="L120" s="10" t="s">
        <v>233</v>
      </c>
      <c r="M120" s="7"/>
      <c r="N120" s="7"/>
      <c r="O120" s="7"/>
      <c r="P120" s="7"/>
      <c r="Q120" s="6"/>
      <c r="R120" s="7" t="s">
        <v>209</v>
      </c>
      <c r="S120" s="7"/>
      <c r="T120" s="83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1:33" ht="12.75" customHeight="1">
      <c r="A121" s="3"/>
      <c r="B121" s="12"/>
      <c r="C121" s="12"/>
      <c r="D121" s="4"/>
      <c r="E121" s="12"/>
      <c r="F121" s="4"/>
      <c r="G121" s="7"/>
      <c r="H121" s="4"/>
      <c r="I121" s="7"/>
      <c r="J121" s="7"/>
      <c r="K121" s="5"/>
      <c r="L121" s="10" t="s">
        <v>211</v>
      </c>
      <c r="M121" s="7" t="s">
        <v>51</v>
      </c>
      <c r="N121" s="7">
        <v>0.91100000000000003</v>
      </c>
      <c r="O121" s="7">
        <v>0.52</v>
      </c>
      <c r="P121" s="7">
        <v>17.03</v>
      </c>
      <c r="Q121" s="6" t="s">
        <v>52</v>
      </c>
      <c r="R121" s="7" t="s">
        <v>212</v>
      </c>
      <c r="S121" s="7" t="s">
        <v>322</v>
      </c>
      <c r="T121" s="83">
        <v>2.6040000000000001</v>
      </c>
      <c r="U121" s="7">
        <v>0.23499999999999999</v>
      </c>
      <c r="V121" s="7">
        <v>29074</v>
      </c>
      <c r="W121" s="7">
        <v>100</v>
      </c>
      <c r="X121" s="7">
        <v>27.5</v>
      </c>
      <c r="Y121" s="7"/>
      <c r="Z121" s="7"/>
      <c r="AA121" s="7"/>
      <c r="AB121" s="7">
        <v>2.5089999999999999</v>
      </c>
      <c r="AC121" s="7">
        <v>0.186</v>
      </c>
      <c r="AD121" s="7">
        <v>67.8</v>
      </c>
      <c r="AE121" s="7">
        <v>2.7679999999999998</v>
      </c>
      <c r="AF121" s="7">
        <v>2.7679999999999998</v>
      </c>
      <c r="AG121" s="7">
        <v>2.6869999999999998</v>
      </c>
    </row>
    <row r="122" spans="1:33" ht="12.75" customHeight="1">
      <c r="A122" s="3"/>
      <c r="B122" s="12"/>
      <c r="C122" s="12"/>
      <c r="D122" s="4"/>
      <c r="E122" s="12"/>
      <c r="F122" s="4"/>
      <c r="G122" s="7"/>
      <c r="H122" s="4"/>
      <c r="I122" s="7"/>
      <c r="J122" s="7"/>
      <c r="K122" s="5"/>
      <c r="L122" s="10" t="s">
        <v>323</v>
      </c>
      <c r="M122" s="7" t="s">
        <v>51</v>
      </c>
      <c r="N122" s="22">
        <v>0.91</v>
      </c>
      <c r="O122" s="7">
        <v>0.52</v>
      </c>
      <c r="P122" s="7">
        <v>24.06</v>
      </c>
      <c r="Q122" s="6" t="s">
        <v>52</v>
      </c>
      <c r="R122" s="7" t="s">
        <v>324</v>
      </c>
      <c r="S122" t="s">
        <v>325</v>
      </c>
      <c r="T122" s="83">
        <v>2.9060000000000001</v>
      </c>
      <c r="U122" s="99">
        <v>0.13100000000000001</v>
      </c>
      <c r="V122" s="7">
        <v>143859</v>
      </c>
      <c r="W122" s="7">
        <v>92.5</v>
      </c>
      <c r="X122" s="7">
        <v>3.9</v>
      </c>
      <c r="Y122" s="7"/>
      <c r="Z122" s="7"/>
      <c r="AA122" s="7"/>
      <c r="AB122" s="7">
        <v>2.754</v>
      </c>
      <c r="AC122" s="7">
        <v>0.106</v>
      </c>
      <c r="AD122" s="7">
        <v>60.6</v>
      </c>
      <c r="AE122" s="7">
        <v>3.036</v>
      </c>
      <c r="AF122" s="7">
        <v>3.1970000000000001</v>
      </c>
      <c r="AG122" s="7">
        <v>2.9340000000000002</v>
      </c>
    </row>
    <row r="123" spans="1:33" ht="12.75" customHeight="1">
      <c r="A123" s="3" t="s">
        <v>33</v>
      </c>
      <c r="B123" s="12" t="s">
        <v>326</v>
      </c>
      <c r="C123" s="12" t="s">
        <v>326</v>
      </c>
      <c r="D123" s="4" t="s">
        <v>288</v>
      </c>
      <c r="E123" s="12" t="s">
        <v>326</v>
      </c>
      <c r="F123" s="4" t="s">
        <v>300</v>
      </c>
      <c r="G123" s="7"/>
      <c r="H123" s="4" t="s">
        <v>305</v>
      </c>
      <c r="I123" s="7"/>
      <c r="J123" s="7"/>
      <c r="K123" s="5" t="s">
        <v>204</v>
      </c>
      <c r="L123" s="7" t="s">
        <v>133</v>
      </c>
      <c r="M123" s="7"/>
      <c r="N123" s="7"/>
      <c r="O123" s="7"/>
      <c r="P123" s="7"/>
      <c r="Q123" s="6"/>
      <c r="R123" s="7"/>
      <c r="S123" s="7"/>
      <c r="T123" s="83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 spans="1:33" ht="12.75" customHeight="1">
      <c r="A124" s="3" t="s">
        <v>33</v>
      </c>
      <c r="B124" s="12" t="s">
        <v>327</v>
      </c>
      <c r="C124" s="12" t="s">
        <v>327</v>
      </c>
      <c r="D124" s="4" t="s">
        <v>288</v>
      </c>
      <c r="E124" s="12" t="s">
        <v>327</v>
      </c>
      <c r="F124" s="4" t="s">
        <v>328</v>
      </c>
      <c r="G124" s="7"/>
      <c r="H124" s="4" t="s">
        <v>329</v>
      </c>
      <c r="I124" s="7"/>
      <c r="J124" s="7"/>
      <c r="K124" s="5" t="s">
        <v>204</v>
      </c>
      <c r="L124" s="7" t="s">
        <v>92</v>
      </c>
      <c r="M124" s="7"/>
      <c r="N124" s="7"/>
      <c r="O124" s="7"/>
      <c r="P124" s="7"/>
      <c r="Q124" s="6"/>
      <c r="R124" s="7"/>
      <c r="S124" s="7"/>
      <c r="T124" s="83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 spans="1:33" ht="12.75" customHeight="1">
      <c r="A125" s="3" t="s">
        <v>33</v>
      </c>
      <c r="B125" s="12" t="s">
        <v>330</v>
      </c>
      <c r="C125" s="12" t="s">
        <v>330</v>
      </c>
      <c r="D125" s="4" t="s">
        <v>288</v>
      </c>
      <c r="E125" s="12" t="s">
        <v>330</v>
      </c>
      <c r="F125" s="4" t="s">
        <v>328</v>
      </c>
      <c r="G125" s="7"/>
      <c r="H125" s="4" t="s">
        <v>331</v>
      </c>
      <c r="I125" s="7"/>
      <c r="J125" s="7"/>
      <c r="K125" s="5" t="s">
        <v>204</v>
      </c>
      <c r="L125" s="7" t="s">
        <v>332</v>
      </c>
      <c r="M125" s="7"/>
      <c r="N125" s="7"/>
      <c r="O125" s="7"/>
      <c r="P125" s="7"/>
      <c r="Q125" s="6"/>
      <c r="R125" s="7"/>
      <c r="S125" s="7"/>
      <c r="T125" s="83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 spans="1:33" ht="12.75" customHeight="1">
      <c r="A126" s="3" t="s">
        <v>33</v>
      </c>
      <c r="B126" s="12" t="s">
        <v>333</v>
      </c>
      <c r="C126" s="12" t="s">
        <v>333</v>
      </c>
      <c r="D126" s="4" t="s">
        <v>307</v>
      </c>
      <c r="E126" s="12" t="s">
        <v>334</v>
      </c>
      <c r="F126" s="4" t="s">
        <v>308</v>
      </c>
      <c r="G126" s="7"/>
      <c r="H126" s="4" t="s">
        <v>335</v>
      </c>
      <c r="I126" s="7"/>
      <c r="J126" s="7"/>
      <c r="K126" s="5" t="s">
        <v>204</v>
      </c>
      <c r="L126" s="10" t="s">
        <v>336</v>
      </c>
      <c r="M126" s="7" t="s">
        <v>51</v>
      </c>
      <c r="N126" s="7">
        <v>0.77200000000000002</v>
      </c>
      <c r="O126" s="7">
        <v>0.6</v>
      </c>
      <c r="P126" s="7">
        <v>10.4</v>
      </c>
      <c r="Q126" s="6" t="s">
        <v>52</v>
      </c>
      <c r="R126" s="7" t="s">
        <v>206</v>
      </c>
      <c r="S126" s="7" t="s">
        <v>337</v>
      </c>
      <c r="T126" s="83">
        <v>3.117</v>
      </c>
      <c r="U126" s="24">
        <v>0.374</v>
      </c>
      <c r="V126" s="7">
        <v>31662</v>
      </c>
      <c r="W126" s="7">
        <v>93.7</v>
      </c>
      <c r="X126" s="7">
        <v>13.2</v>
      </c>
      <c r="Y126" s="7"/>
      <c r="Z126" s="7"/>
      <c r="AA126" s="7"/>
      <c r="AB126" s="7">
        <v>2.9369999999999998</v>
      </c>
      <c r="AC126" s="7">
        <v>0.28899999999999998</v>
      </c>
      <c r="AD126" s="7">
        <v>60.8</v>
      </c>
      <c r="AE126" s="7">
        <v>3.3479999999999999</v>
      </c>
      <c r="AF126" s="7">
        <v>2.9079999999999999</v>
      </c>
      <c r="AG126" s="7">
        <v>3.806</v>
      </c>
    </row>
    <row r="127" spans="1:33" ht="12.75" customHeight="1">
      <c r="A127" s="3"/>
      <c r="B127" s="12"/>
      <c r="C127" s="12"/>
      <c r="D127" s="4"/>
      <c r="E127" s="12"/>
      <c r="F127" s="4"/>
      <c r="G127" s="7"/>
      <c r="H127" s="4"/>
      <c r="I127" s="7"/>
      <c r="J127" s="7"/>
      <c r="K127" s="5"/>
      <c r="L127" s="10" t="s">
        <v>238</v>
      </c>
      <c r="M127" s="7" t="s">
        <v>51</v>
      </c>
      <c r="N127" s="7">
        <v>0.80200000000000005</v>
      </c>
      <c r="O127" s="7">
        <v>0.6</v>
      </c>
      <c r="P127" s="7">
        <v>12.35</v>
      </c>
      <c r="Q127" s="6" t="s">
        <v>52</v>
      </c>
      <c r="R127" s="7" t="s">
        <v>209</v>
      </c>
      <c r="S127" s="7" t="s">
        <v>338</v>
      </c>
      <c r="T127" s="83">
        <v>3.16</v>
      </c>
      <c r="U127" s="24">
        <v>0.40300000000000002</v>
      </c>
      <c r="V127" s="7">
        <v>58445</v>
      </c>
      <c r="W127" s="7">
        <v>92.5</v>
      </c>
      <c r="X127" s="7">
        <v>7.1</v>
      </c>
      <c r="Y127" s="7"/>
      <c r="Z127" s="7"/>
      <c r="AA127" s="7"/>
      <c r="AB127" s="7">
        <v>3.02</v>
      </c>
      <c r="AC127" s="7">
        <v>0.28899999999999998</v>
      </c>
      <c r="AD127" s="7">
        <v>60.5</v>
      </c>
      <c r="AE127" s="7">
        <v>2.9990000000000001</v>
      </c>
      <c r="AF127" s="7">
        <v>3.4689999999999999</v>
      </c>
      <c r="AG127" s="7">
        <v>3.831</v>
      </c>
    </row>
    <row r="128" spans="1:33" ht="12.75" customHeight="1">
      <c r="A128" s="3"/>
      <c r="B128" s="12"/>
      <c r="C128" s="12"/>
      <c r="D128" s="4"/>
      <c r="E128" s="12"/>
      <c r="F128" s="4"/>
      <c r="G128" s="7"/>
      <c r="H128" s="4"/>
      <c r="I128" s="7"/>
      <c r="J128" s="7"/>
      <c r="K128" s="5"/>
      <c r="L128" s="10" t="s">
        <v>211</v>
      </c>
      <c r="M128" s="7" t="s">
        <v>51</v>
      </c>
      <c r="N128" s="7">
        <v>0.72199999999999998</v>
      </c>
      <c r="O128" s="7">
        <v>0.6</v>
      </c>
      <c r="P128" s="7">
        <v>8.94</v>
      </c>
      <c r="Q128" s="6" t="s">
        <v>52</v>
      </c>
      <c r="R128" s="7" t="s">
        <v>212</v>
      </c>
      <c r="S128" s="7" t="s">
        <v>339</v>
      </c>
      <c r="T128" s="83">
        <v>3.1349999999999998</v>
      </c>
      <c r="U128" s="24">
        <v>0.72199999999999998</v>
      </c>
      <c r="V128" s="7">
        <v>16361</v>
      </c>
      <c r="W128" s="7">
        <v>94.3</v>
      </c>
      <c r="X128" s="7">
        <v>25.5</v>
      </c>
      <c r="Y128" s="7"/>
      <c r="Z128" s="7"/>
      <c r="AA128" s="7"/>
      <c r="AB128" s="7">
        <v>2.9649999999999999</v>
      </c>
      <c r="AC128" s="7">
        <v>0.55600000000000005</v>
      </c>
      <c r="AD128" s="7">
        <v>63.8</v>
      </c>
      <c r="AE128" s="7">
        <v>3.0830000000000002</v>
      </c>
      <c r="AF128" s="7">
        <v>3.0830000000000002</v>
      </c>
      <c r="AG128" s="7">
        <v>3.754</v>
      </c>
    </row>
    <row r="129" spans="1:35" ht="12.75" customHeight="1">
      <c r="A129" s="3"/>
      <c r="B129" s="12"/>
      <c r="C129" s="12"/>
      <c r="D129" s="4"/>
      <c r="E129" s="12" t="s">
        <v>340</v>
      </c>
      <c r="F129" s="4"/>
      <c r="G129" s="7"/>
      <c r="H129" s="4"/>
      <c r="I129" s="7"/>
      <c r="J129" s="7"/>
      <c r="K129" s="5"/>
      <c r="L129" s="10" t="s">
        <v>236</v>
      </c>
      <c r="M129" s="7" t="s">
        <v>51</v>
      </c>
      <c r="N129" s="7">
        <v>0.72299999999999998</v>
      </c>
      <c r="O129" s="7">
        <v>0.7</v>
      </c>
      <c r="P129" s="7">
        <v>14.1</v>
      </c>
      <c r="Q129" s="6" t="s">
        <v>52</v>
      </c>
      <c r="R129" s="7" t="s">
        <v>341</v>
      </c>
      <c r="S129" s="7" t="s">
        <v>342</v>
      </c>
      <c r="T129" s="83">
        <v>3.7109999999999999</v>
      </c>
      <c r="U129" s="24">
        <v>0.53900000000000003</v>
      </c>
      <c r="V129" s="7">
        <v>9955</v>
      </c>
      <c r="W129" s="7">
        <v>96.5</v>
      </c>
      <c r="X129" s="7">
        <v>26</v>
      </c>
      <c r="Y129" s="7"/>
      <c r="Z129" s="7"/>
      <c r="AA129" s="7"/>
      <c r="AB129" s="7">
        <v>3.5979999999999999</v>
      </c>
      <c r="AC129" s="7">
        <v>0.41899999999999998</v>
      </c>
      <c r="AD129" s="7">
        <v>71.400000000000006</v>
      </c>
      <c r="AE129" s="7">
        <v>3.5979999999999999</v>
      </c>
      <c r="AF129" s="7">
        <v>3.5979999999999999</v>
      </c>
      <c r="AG129" s="7">
        <v>4.5369999999999999</v>
      </c>
    </row>
    <row r="130" spans="1:35">
      <c r="A130" s="3"/>
      <c r="B130" s="12"/>
      <c r="C130" s="12"/>
      <c r="D130" s="4"/>
      <c r="E130" s="12"/>
      <c r="F130" s="4"/>
      <c r="G130" s="7"/>
      <c r="H130" s="4"/>
      <c r="I130" s="7"/>
      <c r="J130" s="7"/>
      <c r="K130" s="5"/>
      <c r="L130" s="10" t="s">
        <v>233</v>
      </c>
      <c r="M130" s="7" t="s">
        <v>51</v>
      </c>
      <c r="N130" s="7">
        <v>0.72299999999999998</v>
      </c>
      <c r="O130" s="7">
        <v>0.7</v>
      </c>
      <c r="P130" s="7">
        <v>16.399999999999999</v>
      </c>
      <c r="Q130" s="6" t="s">
        <v>52</v>
      </c>
      <c r="R130" s="7" t="s">
        <v>209</v>
      </c>
      <c r="S130" s="7" t="s">
        <v>343</v>
      </c>
      <c r="T130" s="83">
        <v>3.96</v>
      </c>
      <c r="U130" s="24">
        <v>0.46899999999999997</v>
      </c>
      <c r="V130" s="7">
        <v>31948</v>
      </c>
      <c r="W130" s="7">
        <v>98.7</v>
      </c>
      <c r="X130" s="7">
        <v>7.1</v>
      </c>
      <c r="Y130" s="7"/>
      <c r="Z130" s="7"/>
      <c r="AA130" s="7"/>
      <c r="AB130" s="7">
        <v>3.6259999999999999</v>
      </c>
      <c r="AC130" s="7">
        <v>0.32800000000000001</v>
      </c>
      <c r="AD130" s="7">
        <v>55.2</v>
      </c>
      <c r="AE130" s="7">
        <v>3.9260000000000002</v>
      </c>
      <c r="AF130" s="7">
        <v>3.5489999999999999</v>
      </c>
      <c r="AG130" s="7">
        <v>5.2679999999999998</v>
      </c>
    </row>
    <row r="131" spans="1:35" ht="12.75" customHeight="1">
      <c r="A131" s="3"/>
      <c r="B131" s="12"/>
      <c r="C131" s="12"/>
      <c r="D131" s="4"/>
      <c r="E131" s="12"/>
      <c r="F131" s="4"/>
      <c r="G131" s="7"/>
      <c r="H131" s="4"/>
      <c r="I131" s="7"/>
      <c r="J131" s="7"/>
      <c r="K131" s="5"/>
      <c r="L131" s="10" t="s">
        <v>261</v>
      </c>
      <c r="M131" s="7" t="s">
        <v>51</v>
      </c>
      <c r="N131" s="7">
        <v>0.745</v>
      </c>
      <c r="O131" s="7">
        <v>0.68</v>
      </c>
      <c r="P131" s="7">
        <v>15.8</v>
      </c>
      <c r="Q131" s="6" t="s">
        <v>52</v>
      </c>
      <c r="R131" s="7" t="s">
        <v>228</v>
      </c>
      <c r="S131" s="7" t="s">
        <v>344</v>
      </c>
      <c r="T131" s="83">
        <v>3.9630000000000001</v>
      </c>
      <c r="U131" s="24">
        <v>0.47799999999999998</v>
      </c>
      <c r="V131" s="7">
        <v>16859</v>
      </c>
      <c r="W131" s="7">
        <v>99.9</v>
      </c>
      <c r="X131" s="7">
        <v>13.4</v>
      </c>
      <c r="Y131" s="7"/>
      <c r="Z131" s="7"/>
      <c r="AA131" s="7"/>
      <c r="AB131" s="7">
        <v>3.4710000000000001</v>
      </c>
      <c r="AC131" s="7">
        <v>0.40300000000000002</v>
      </c>
      <c r="AD131" s="7">
        <v>58.6</v>
      </c>
      <c r="AE131" s="7">
        <v>3.8839999999999999</v>
      </c>
      <c r="AF131" s="7">
        <v>3.363</v>
      </c>
      <c r="AG131" s="7">
        <v>4.8789999999999996</v>
      </c>
    </row>
    <row r="132" spans="1:35" ht="12.75" customHeight="1">
      <c r="A132" s="3"/>
      <c r="B132" s="12"/>
      <c r="C132" s="12"/>
      <c r="D132" s="4"/>
      <c r="E132" s="12"/>
      <c r="F132" s="4"/>
      <c r="G132" s="7"/>
      <c r="H132" s="4"/>
      <c r="I132" s="7"/>
      <c r="J132" s="7"/>
      <c r="K132" s="5"/>
      <c r="L132" s="10" t="s">
        <v>345</v>
      </c>
      <c r="M132" s="7"/>
      <c r="N132" s="7"/>
      <c r="O132" s="7"/>
      <c r="P132" s="7"/>
      <c r="Q132" s="6"/>
      <c r="R132" s="7" t="s">
        <v>260</v>
      </c>
      <c r="S132" s="7"/>
      <c r="T132" s="83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 spans="1:35" ht="12.75" customHeight="1">
      <c r="A133" s="3"/>
      <c r="B133" s="12"/>
      <c r="C133" s="12"/>
      <c r="D133" s="4"/>
      <c r="E133" s="12"/>
      <c r="F133" s="4"/>
      <c r="G133" s="7"/>
      <c r="H133" s="4"/>
      <c r="I133" s="7"/>
      <c r="J133" s="7"/>
      <c r="K133" s="5"/>
      <c r="L133" s="10" t="s">
        <v>346</v>
      </c>
      <c r="M133" s="7" t="s">
        <v>51</v>
      </c>
      <c r="N133" s="7">
        <v>0.74199999999999999</v>
      </c>
      <c r="O133" s="7">
        <v>0.7</v>
      </c>
      <c r="P133" s="7">
        <v>14.54</v>
      </c>
      <c r="Q133" s="6" t="s">
        <v>52</v>
      </c>
      <c r="R133" s="7" t="s">
        <v>347</v>
      </c>
      <c r="S133" s="7" t="s">
        <v>348</v>
      </c>
      <c r="T133" s="83">
        <v>3.5640000000000001</v>
      </c>
      <c r="U133" s="24">
        <v>0.70299999999999996</v>
      </c>
      <c r="V133" s="7">
        <v>11137</v>
      </c>
      <c r="W133" s="7">
        <v>94.3</v>
      </c>
      <c r="X133" s="7">
        <v>26</v>
      </c>
      <c r="Y133" s="7"/>
      <c r="Z133" s="7"/>
      <c r="AA133" s="7"/>
      <c r="AB133" s="7">
        <v>3.4089999999999998</v>
      </c>
      <c r="AC133" s="7">
        <v>0.47799999999999998</v>
      </c>
      <c r="AD133" s="7">
        <v>61.6</v>
      </c>
      <c r="AE133" s="7">
        <v>3.512</v>
      </c>
      <c r="AF133" s="7">
        <v>3.512</v>
      </c>
      <c r="AG133" s="7">
        <v>4.7380000000000004</v>
      </c>
      <c r="AH133" t="s">
        <v>286</v>
      </c>
    </row>
    <row r="134" spans="1:35" ht="12.75" customHeight="1">
      <c r="A134" s="3" t="s">
        <v>33</v>
      </c>
      <c r="B134" s="12" t="s">
        <v>349</v>
      </c>
      <c r="C134" s="12" t="s">
        <v>349</v>
      </c>
      <c r="D134" s="4" t="s">
        <v>307</v>
      </c>
      <c r="E134" s="12" t="s">
        <v>350</v>
      </c>
      <c r="F134" s="4" t="s">
        <v>308</v>
      </c>
      <c r="G134" s="7"/>
      <c r="H134" s="4" t="s">
        <v>335</v>
      </c>
      <c r="I134" s="7"/>
      <c r="J134" s="7"/>
      <c r="K134" s="5" t="s">
        <v>204</v>
      </c>
      <c r="L134" s="10" t="s">
        <v>351</v>
      </c>
      <c r="M134" s="7" t="s">
        <v>51</v>
      </c>
      <c r="N134" s="7">
        <v>0.96199999999999997</v>
      </c>
      <c r="O134" s="7">
        <v>0.3</v>
      </c>
      <c r="P134" s="7">
        <v>14.66</v>
      </c>
      <c r="Q134" s="6" t="s">
        <v>52</v>
      </c>
      <c r="R134" s="7" t="s">
        <v>347</v>
      </c>
      <c r="S134" s="7" t="s">
        <v>352</v>
      </c>
      <c r="T134" s="83">
        <v>2.5059999999999998</v>
      </c>
      <c r="U134" s="7">
        <v>0.24299999999999999</v>
      </c>
      <c r="V134" s="7">
        <v>33377</v>
      </c>
      <c r="W134" s="22">
        <v>99.9</v>
      </c>
      <c r="X134" s="7">
        <v>27</v>
      </c>
      <c r="Y134" s="7"/>
      <c r="Z134" s="7"/>
      <c r="AA134" s="7"/>
      <c r="AB134" s="7">
        <v>2.4420000000000002</v>
      </c>
      <c r="AC134" s="7">
        <v>0.20499999999999999</v>
      </c>
      <c r="AD134" s="7">
        <v>76.599999999999994</v>
      </c>
      <c r="AE134" s="7">
        <v>2.7189999999999999</v>
      </c>
      <c r="AF134" s="7">
        <v>2.7189999999999999</v>
      </c>
      <c r="AG134" s="7">
        <v>2.4689999999999999</v>
      </c>
    </row>
    <row r="135" spans="1:35" ht="12.75" customHeight="1">
      <c r="A135" s="3"/>
      <c r="B135" s="12"/>
      <c r="C135" s="12"/>
      <c r="D135" s="4"/>
      <c r="E135" s="12"/>
      <c r="F135" s="4"/>
      <c r="G135" s="7"/>
      <c r="H135" s="4"/>
      <c r="I135" s="7"/>
      <c r="J135" s="7"/>
      <c r="K135" s="5"/>
      <c r="L135" s="10" t="s">
        <v>353</v>
      </c>
      <c r="M135" s="7" t="s">
        <v>51</v>
      </c>
      <c r="N135" s="7">
        <v>0.96299999999999997</v>
      </c>
      <c r="O135" s="7">
        <v>0.3</v>
      </c>
      <c r="P135" s="7">
        <v>15.57</v>
      </c>
      <c r="Q135" s="6" t="s">
        <v>52</v>
      </c>
      <c r="R135" s="7" t="s">
        <v>228</v>
      </c>
      <c r="S135" s="7" t="s">
        <v>354</v>
      </c>
      <c r="T135" s="83">
        <v>2.6520000000000001</v>
      </c>
      <c r="U135" s="7">
        <v>0.22</v>
      </c>
      <c r="V135" s="7">
        <v>54558</v>
      </c>
      <c r="W135" s="22">
        <v>99</v>
      </c>
      <c r="X135" s="7">
        <v>13.9</v>
      </c>
      <c r="Y135" s="7"/>
      <c r="Z135" s="7"/>
      <c r="AA135" s="7"/>
      <c r="AB135" s="7">
        <v>2.4910000000000001</v>
      </c>
      <c r="AC135" s="7">
        <v>0.19600000000000001</v>
      </c>
      <c r="AD135" s="7">
        <v>72.900000000000006</v>
      </c>
      <c r="AE135" s="7">
        <v>2.8759999999999999</v>
      </c>
      <c r="AF135" s="7">
        <v>2.7410000000000001</v>
      </c>
      <c r="AG135" s="7">
        <v>2.5430000000000001</v>
      </c>
      <c r="AI135" t="s">
        <v>286</v>
      </c>
    </row>
    <row r="136" spans="1:35" ht="12.75" customHeight="1">
      <c r="A136" s="3"/>
      <c r="B136" s="12"/>
      <c r="C136" s="12"/>
      <c r="D136" s="4"/>
      <c r="E136" s="12"/>
      <c r="F136" s="4"/>
      <c r="G136" s="7"/>
      <c r="H136" s="4"/>
      <c r="I136" s="7"/>
      <c r="J136" s="7"/>
      <c r="K136" s="5"/>
      <c r="L136" s="10" t="s">
        <v>208</v>
      </c>
      <c r="M136" s="7"/>
      <c r="N136" s="7"/>
      <c r="O136" s="7"/>
      <c r="P136" s="7"/>
      <c r="Q136" s="6"/>
      <c r="R136" s="7" t="s">
        <v>209</v>
      </c>
      <c r="S136" s="7"/>
      <c r="T136" s="83"/>
      <c r="U136" s="7"/>
      <c r="V136" s="7"/>
      <c r="W136" s="22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 spans="1:35" ht="12.75" customHeight="1">
      <c r="A137" s="3"/>
      <c r="B137" s="12"/>
      <c r="C137" s="12"/>
      <c r="D137" s="4"/>
      <c r="E137" s="12"/>
      <c r="F137" s="4"/>
      <c r="G137" s="7"/>
      <c r="H137" s="4"/>
      <c r="I137" s="7"/>
      <c r="J137" s="7"/>
      <c r="K137" s="5"/>
      <c r="L137" s="10" t="s">
        <v>345</v>
      </c>
      <c r="M137" s="7"/>
      <c r="N137" s="7"/>
      <c r="O137" s="7"/>
      <c r="P137" s="7"/>
      <c r="Q137" s="6"/>
      <c r="R137" s="7" t="s">
        <v>260</v>
      </c>
      <c r="S137" s="7"/>
      <c r="T137" s="83"/>
      <c r="U137" s="7"/>
      <c r="V137" s="7"/>
      <c r="W137" s="22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 spans="1:35" ht="12.75" customHeight="1">
      <c r="A138" s="3"/>
      <c r="B138" s="12"/>
      <c r="C138" s="12"/>
      <c r="D138" s="4"/>
      <c r="E138" s="12" t="s">
        <v>355</v>
      </c>
      <c r="F138" s="4"/>
      <c r="G138" s="7"/>
      <c r="H138" s="4"/>
      <c r="I138" s="7"/>
      <c r="J138" s="7"/>
      <c r="K138" s="5"/>
      <c r="L138" s="10" t="s">
        <v>310</v>
      </c>
      <c r="M138" s="7" t="s">
        <v>51</v>
      </c>
      <c r="N138" s="7">
        <v>0.88300000000000001</v>
      </c>
      <c r="O138" s="7">
        <v>0.57999999999999996</v>
      </c>
      <c r="P138" s="24">
        <v>7.44</v>
      </c>
      <c r="Q138" s="6" t="s">
        <v>52</v>
      </c>
      <c r="R138" s="7" t="s">
        <v>228</v>
      </c>
      <c r="S138" s="7" t="s">
        <v>356</v>
      </c>
      <c r="T138" s="83">
        <v>3.1539999999999999</v>
      </c>
      <c r="U138" s="24">
        <v>0.54200000000000004</v>
      </c>
      <c r="V138" s="7">
        <v>32806</v>
      </c>
      <c r="W138" s="7">
        <v>99.3</v>
      </c>
      <c r="X138" s="7">
        <v>12.7</v>
      </c>
      <c r="Y138" s="7"/>
      <c r="Z138" s="7"/>
      <c r="AA138" s="7"/>
      <c r="AB138" s="7">
        <v>2.7989999999999999</v>
      </c>
      <c r="AC138" s="7">
        <v>0.49399999999999999</v>
      </c>
      <c r="AD138" s="7">
        <v>68.2</v>
      </c>
      <c r="AE138" s="7">
        <v>3.02</v>
      </c>
      <c r="AF138" s="7">
        <v>2.919</v>
      </c>
      <c r="AG138" s="7">
        <v>3.3969999999999998</v>
      </c>
    </row>
    <row r="139" spans="1:35" ht="12.75" customHeight="1">
      <c r="A139" s="3"/>
      <c r="B139" s="12"/>
      <c r="C139" s="12"/>
      <c r="D139" s="4"/>
      <c r="E139" s="12"/>
      <c r="F139" s="4"/>
      <c r="G139" s="7"/>
      <c r="H139" s="4"/>
      <c r="I139" s="7"/>
      <c r="J139" s="7"/>
      <c r="K139" s="5"/>
      <c r="L139" s="10" t="s">
        <v>211</v>
      </c>
      <c r="M139" s="7" t="s">
        <v>51</v>
      </c>
      <c r="N139" s="7">
        <v>0.68</v>
      </c>
      <c r="O139" s="7">
        <v>0.7</v>
      </c>
      <c r="P139" s="24">
        <v>6.48</v>
      </c>
      <c r="Q139" s="6" t="s">
        <v>52</v>
      </c>
      <c r="R139" s="7" t="s">
        <v>212</v>
      </c>
      <c r="S139" s="7" t="s">
        <v>357</v>
      </c>
      <c r="T139" s="83">
        <v>3.8540000000000001</v>
      </c>
      <c r="U139" s="24">
        <v>0.80900000000000005</v>
      </c>
      <c r="V139" s="7">
        <v>9464</v>
      </c>
      <c r="W139" s="7">
        <v>99.9</v>
      </c>
      <c r="X139" s="7">
        <v>25.5</v>
      </c>
      <c r="Y139" s="7"/>
      <c r="Z139" s="7"/>
      <c r="AA139" s="7"/>
      <c r="AB139" s="7">
        <v>2.6349999999999998</v>
      </c>
      <c r="AC139" s="7">
        <v>1.901</v>
      </c>
      <c r="AD139" s="7">
        <v>49.6</v>
      </c>
      <c r="AE139" s="7">
        <v>3.2069999999999999</v>
      </c>
      <c r="AF139" s="7">
        <v>3.2069999999999999</v>
      </c>
      <c r="AG139" s="7">
        <v>2.7930000000000001</v>
      </c>
    </row>
    <row r="140" spans="1:35" ht="12.75" customHeight="1">
      <c r="A140" s="3" t="s">
        <v>33</v>
      </c>
      <c r="B140" s="12" t="s">
        <v>358</v>
      </c>
      <c r="C140" s="12" t="s">
        <v>358</v>
      </c>
      <c r="D140" s="4" t="s">
        <v>307</v>
      </c>
      <c r="E140" s="12" t="s">
        <v>359</v>
      </c>
      <c r="F140" s="4" t="s">
        <v>308</v>
      </c>
      <c r="G140" s="7"/>
      <c r="H140" s="4" t="s">
        <v>360</v>
      </c>
      <c r="I140" s="7"/>
      <c r="J140" s="7"/>
      <c r="K140" s="5" t="s">
        <v>204</v>
      </c>
      <c r="L140" s="10" t="s">
        <v>361</v>
      </c>
      <c r="M140" s="7" t="s">
        <v>51</v>
      </c>
      <c r="N140" s="7">
        <v>0.878</v>
      </c>
      <c r="O140" s="7">
        <v>0.34</v>
      </c>
      <c r="P140" s="7">
        <v>17.32</v>
      </c>
      <c r="Q140" s="6" t="s">
        <v>52</v>
      </c>
      <c r="R140" s="7" t="s">
        <v>347</v>
      </c>
      <c r="S140" s="7" t="s">
        <v>362</v>
      </c>
      <c r="T140" s="83">
        <v>2.4830000000000001</v>
      </c>
      <c r="U140" s="24">
        <v>0.34</v>
      </c>
      <c r="V140" s="7">
        <v>34257</v>
      </c>
      <c r="W140" s="7">
        <v>99.9</v>
      </c>
      <c r="X140" s="7">
        <v>26.8</v>
      </c>
      <c r="Y140" s="7"/>
      <c r="Z140" s="7"/>
      <c r="AA140" s="7"/>
      <c r="AB140" s="22">
        <v>2.504</v>
      </c>
      <c r="AC140">
        <v>0.29899999999999999</v>
      </c>
      <c r="AD140" s="22">
        <v>86.4</v>
      </c>
      <c r="AE140" s="22">
        <v>2.5579999999999998</v>
      </c>
      <c r="AF140" s="22">
        <v>2.5579999999999998</v>
      </c>
      <c r="AG140" s="22">
        <v>2.6579999999999999</v>
      </c>
    </row>
    <row r="141" spans="1:35" ht="12.75" customHeight="1">
      <c r="A141" s="3"/>
      <c r="B141" s="12"/>
      <c r="C141" s="12"/>
      <c r="D141" s="4"/>
      <c r="E141" s="12"/>
      <c r="F141" s="4"/>
      <c r="G141" s="7"/>
      <c r="H141" s="4"/>
      <c r="I141" s="7"/>
      <c r="J141" s="7"/>
      <c r="K141" s="5"/>
      <c r="L141" s="10" t="s">
        <v>353</v>
      </c>
      <c r="M141" s="7" t="s">
        <v>51</v>
      </c>
      <c r="N141" s="7">
        <v>0.88100000000000001</v>
      </c>
      <c r="O141" s="7">
        <v>0.34</v>
      </c>
      <c r="P141" s="7">
        <v>18.43</v>
      </c>
      <c r="Q141" s="6" t="s">
        <v>52</v>
      </c>
      <c r="R141" s="7" t="s">
        <v>228</v>
      </c>
      <c r="S141" s="7" t="s">
        <v>363</v>
      </c>
      <c r="T141" s="83">
        <v>2.597</v>
      </c>
      <c r="U141" s="25">
        <v>0.29599999999999999</v>
      </c>
      <c r="V141" s="7">
        <v>58550</v>
      </c>
      <c r="W141" s="22">
        <v>99.9</v>
      </c>
      <c r="X141" s="7">
        <v>13.7</v>
      </c>
      <c r="Y141" s="7"/>
      <c r="Z141" s="7"/>
      <c r="AA141" s="7"/>
      <c r="AB141" s="7">
        <v>2.5910000000000002</v>
      </c>
      <c r="AC141" s="7">
        <v>0.26600000000000001</v>
      </c>
      <c r="AD141" s="7">
        <v>49741</v>
      </c>
      <c r="AE141" s="7">
        <v>2.6309999999999998</v>
      </c>
      <c r="AF141" s="7">
        <v>2.6850000000000001</v>
      </c>
      <c r="AG141" s="7">
        <v>2.782</v>
      </c>
    </row>
    <row r="142" spans="1:35" ht="12.75" customHeight="1">
      <c r="A142" s="3"/>
      <c r="B142" s="12"/>
      <c r="C142" s="12"/>
      <c r="D142" s="4"/>
      <c r="E142" s="12"/>
      <c r="F142" s="4"/>
      <c r="G142" s="7"/>
      <c r="H142" s="4"/>
      <c r="I142" s="7"/>
      <c r="J142" s="7"/>
      <c r="K142" s="5"/>
      <c r="L142" s="10" t="s">
        <v>208</v>
      </c>
      <c r="M142" s="7"/>
      <c r="N142" s="7"/>
      <c r="O142" s="7"/>
      <c r="P142" s="7"/>
      <c r="Q142" s="6"/>
      <c r="R142" s="7" t="s">
        <v>209</v>
      </c>
      <c r="S142" s="7"/>
      <c r="T142" s="83"/>
      <c r="U142" s="25"/>
      <c r="V142" s="7"/>
      <c r="W142" s="22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 spans="1:35" ht="12.75" customHeight="1">
      <c r="A143" s="3"/>
      <c r="B143" s="12"/>
      <c r="C143" s="12"/>
      <c r="D143" s="4"/>
      <c r="E143" s="12"/>
      <c r="F143" s="4"/>
      <c r="G143" s="7"/>
      <c r="H143" s="4"/>
      <c r="I143" s="7"/>
      <c r="J143" s="7"/>
      <c r="K143" s="5"/>
      <c r="L143" s="10" t="s">
        <v>345</v>
      </c>
      <c r="M143" s="7"/>
      <c r="N143" s="7"/>
      <c r="O143" s="7"/>
      <c r="P143" s="7"/>
      <c r="Q143" s="6"/>
      <c r="R143" s="7" t="s">
        <v>260</v>
      </c>
      <c r="S143" s="7"/>
      <c r="T143" s="83"/>
      <c r="U143" s="25"/>
      <c r="V143" s="7"/>
      <c r="W143" s="22"/>
      <c r="X143" s="7"/>
      <c r="Y143" s="7"/>
      <c r="Z143" s="7"/>
      <c r="AA143" s="7"/>
      <c r="AB143" s="7"/>
      <c r="AC143" s="7"/>
      <c r="AD143" s="7"/>
      <c r="AE143" s="7"/>
      <c r="AF143" s="7"/>
      <c r="AG143" s="7"/>
    </row>
    <row r="144" spans="1:35" s="93" customFormat="1" ht="12.75" customHeight="1">
      <c r="A144" s="86"/>
      <c r="B144" s="87"/>
      <c r="C144" s="87"/>
      <c r="D144" s="88"/>
      <c r="E144" s="87" t="s">
        <v>364</v>
      </c>
      <c r="F144" s="88"/>
      <c r="G144" s="89"/>
      <c r="H144" s="88"/>
      <c r="I144" s="89"/>
      <c r="J144" s="89"/>
      <c r="K144" s="90"/>
      <c r="L144" s="89"/>
      <c r="M144" s="89" t="s">
        <v>51</v>
      </c>
      <c r="N144" s="89">
        <v>0.94899999999999995</v>
      </c>
      <c r="O144" s="89">
        <v>0.33</v>
      </c>
      <c r="P144" s="89">
        <v>20.91</v>
      </c>
      <c r="Q144" s="91" t="s">
        <v>52</v>
      </c>
      <c r="R144" s="89" t="s">
        <v>347</v>
      </c>
      <c r="S144" s="89" t="s">
        <v>365</v>
      </c>
      <c r="T144" s="83">
        <v>2.3570000000000002</v>
      </c>
      <c r="U144" s="89">
        <v>0.18099999999999999</v>
      </c>
      <c r="V144" s="89">
        <v>38670</v>
      </c>
      <c r="W144" s="92">
        <v>95.6</v>
      </c>
      <c r="X144" s="89">
        <v>26.6</v>
      </c>
      <c r="Y144" s="89"/>
      <c r="Z144" s="89"/>
      <c r="AA144" s="89"/>
      <c r="AB144" s="89">
        <v>2.3559999999999999</v>
      </c>
      <c r="AC144" s="89">
        <v>0.151</v>
      </c>
      <c r="AD144" s="89">
        <v>77.400000000000006</v>
      </c>
      <c r="AE144" s="89">
        <v>2.4129999999999998</v>
      </c>
      <c r="AF144" s="89">
        <v>2.4129999999999998</v>
      </c>
      <c r="AG144" s="89">
        <v>2.625</v>
      </c>
    </row>
    <row r="145" spans="1:36" s="82" customFormat="1" ht="12.75" customHeight="1">
      <c r="A145" s="77"/>
      <c r="B145" s="78"/>
      <c r="C145" s="78"/>
      <c r="D145" s="79"/>
      <c r="E145" s="78" t="s">
        <v>366</v>
      </c>
      <c r="F145" s="79"/>
      <c r="G145" s="25"/>
      <c r="H145" s="79"/>
      <c r="I145" s="25"/>
      <c r="J145" s="25"/>
      <c r="K145" s="80"/>
      <c r="L145" s="25"/>
      <c r="M145" s="25" t="s">
        <v>51</v>
      </c>
      <c r="N145" s="25">
        <v>0.9</v>
      </c>
      <c r="O145" s="25">
        <v>0.35</v>
      </c>
      <c r="P145" s="25">
        <v>16.87</v>
      </c>
      <c r="Q145" s="81" t="s">
        <v>52</v>
      </c>
      <c r="R145" s="25" t="s">
        <v>347</v>
      </c>
      <c r="S145" s="25" t="s">
        <v>367</v>
      </c>
      <c r="T145" s="83">
        <v>2.3610000000000002</v>
      </c>
      <c r="U145" s="25">
        <v>0.252</v>
      </c>
      <c r="V145" s="25">
        <v>37850</v>
      </c>
      <c r="W145" s="85">
        <v>95.2</v>
      </c>
      <c r="X145" s="25">
        <v>26.7</v>
      </c>
      <c r="Y145" s="25"/>
      <c r="Z145" s="25"/>
      <c r="AA145" s="25"/>
      <c r="AB145" s="25">
        <v>2.3660000000000001</v>
      </c>
      <c r="AC145" s="25">
        <v>0.21199999999999999</v>
      </c>
      <c r="AD145" s="25">
        <v>80.5</v>
      </c>
      <c r="AE145" s="25">
        <v>2.4289999999999998</v>
      </c>
      <c r="AF145" s="25">
        <v>2.4289999999999998</v>
      </c>
      <c r="AG145" s="25">
        <v>2.52</v>
      </c>
    </row>
    <row r="146" spans="1:36" s="53" customFormat="1" ht="12.75" customHeight="1">
      <c r="A146" s="47"/>
      <c r="B146" s="48"/>
      <c r="C146" s="48"/>
      <c r="D146" s="49"/>
      <c r="E146" s="48" t="s">
        <v>368</v>
      </c>
      <c r="F146" s="49"/>
      <c r="G146" s="50"/>
      <c r="H146" s="49"/>
      <c r="I146" s="50"/>
      <c r="J146" s="50"/>
      <c r="K146" s="51"/>
      <c r="L146" s="50" t="s">
        <v>369</v>
      </c>
      <c r="M146" s="50" t="s">
        <v>51</v>
      </c>
      <c r="N146" s="50">
        <v>0.874</v>
      </c>
      <c r="O146" s="50">
        <v>0.4</v>
      </c>
      <c r="P146" s="50">
        <v>18.43</v>
      </c>
      <c r="Q146" s="52" t="s">
        <v>52</v>
      </c>
      <c r="R146" s="50" t="s">
        <v>347</v>
      </c>
      <c r="S146" s="50" t="s">
        <v>370</v>
      </c>
      <c r="T146" s="102">
        <v>2.2309999999999999</v>
      </c>
      <c r="U146" s="50">
        <v>0.122</v>
      </c>
      <c r="V146" s="50">
        <v>45165</v>
      </c>
      <c r="W146" s="50">
        <v>94.9</v>
      </c>
      <c r="X146" s="50">
        <v>26.6</v>
      </c>
      <c r="Y146" s="50">
        <v>6822</v>
      </c>
      <c r="Z146" s="50">
        <v>72</v>
      </c>
      <c r="AA146" s="50" t="s">
        <v>371</v>
      </c>
      <c r="AB146" s="50">
        <v>2.2290000000000001</v>
      </c>
      <c r="AC146" s="50">
        <v>0.112</v>
      </c>
      <c r="AD146" s="50">
        <v>84.2</v>
      </c>
      <c r="AE146" s="50">
        <v>2.274</v>
      </c>
      <c r="AF146" s="50">
        <v>2.274</v>
      </c>
      <c r="AG146" s="50">
        <v>2.3479999999999999</v>
      </c>
    </row>
    <row r="147" spans="1:36" ht="12.75" customHeight="1">
      <c r="A147" s="3"/>
      <c r="B147" s="12"/>
      <c r="C147" s="12"/>
      <c r="D147" s="4"/>
      <c r="E147" s="12"/>
      <c r="F147" s="4"/>
      <c r="G147" s="7"/>
      <c r="H147" s="4"/>
      <c r="I147" s="7"/>
      <c r="J147" s="7"/>
      <c r="K147" s="5"/>
      <c r="L147" s="10" t="s">
        <v>353</v>
      </c>
      <c r="M147" s="7"/>
      <c r="N147" s="7"/>
      <c r="O147" s="7"/>
      <c r="P147" s="7"/>
      <c r="Q147" s="6"/>
      <c r="R147" s="7" t="s">
        <v>228</v>
      </c>
      <c r="S147" s="7"/>
      <c r="T147" s="83"/>
      <c r="U147" s="25"/>
      <c r="V147" s="7"/>
      <c r="W147" s="22"/>
      <c r="X147" s="7"/>
      <c r="Y147" s="7"/>
      <c r="Z147" s="7"/>
      <c r="AA147" s="7"/>
      <c r="AB147" s="7"/>
      <c r="AC147" s="7"/>
      <c r="AD147" s="7"/>
      <c r="AE147" s="7"/>
      <c r="AF147" s="7"/>
      <c r="AG147" s="7"/>
    </row>
    <row r="148" spans="1:36" ht="12.75" customHeight="1">
      <c r="A148" s="3"/>
      <c r="B148" s="12"/>
      <c r="C148" s="12"/>
      <c r="D148" s="4"/>
      <c r="E148" s="12"/>
      <c r="F148" s="4"/>
      <c r="G148" s="7"/>
      <c r="H148" s="4"/>
      <c r="I148" s="7"/>
      <c r="J148" s="7"/>
      <c r="K148" s="5"/>
      <c r="L148" s="10" t="s">
        <v>208</v>
      </c>
      <c r="M148" s="7"/>
      <c r="N148" s="7"/>
      <c r="O148" s="7"/>
      <c r="P148" s="7"/>
      <c r="Q148" s="6"/>
      <c r="R148" s="7" t="s">
        <v>209</v>
      </c>
      <c r="S148" s="7"/>
      <c r="T148" s="83"/>
      <c r="U148" s="25"/>
      <c r="V148" s="7"/>
      <c r="W148" s="22"/>
      <c r="X148" s="7"/>
      <c r="Y148" s="7"/>
      <c r="Z148" s="7"/>
      <c r="AA148" s="7"/>
      <c r="AB148" s="7"/>
      <c r="AC148" s="7"/>
      <c r="AD148" s="7"/>
      <c r="AE148" s="7"/>
      <c r="AF148" s="7"/>
      <c r="AG148" s="7"/>
    </row>
    <row r="149" spans="1:36" ht="12.75" customHeight="1">
      <c r="A149" s="3"/>
      <c r="B149" s="12"/>
      <c r="C149" s="12"/>
      <c r="D149" s="4"/>
      <c r="E149" s="12"/>
      <c r="F149" s="4"/>
      <c r="G149" s="7"/>
      <c r="H149" s="4"/>
      <c r="I149" s="7"/>
      <c r="J149" s="7"/>
      <c r="K149" s="5"/>
      <c r="L149" s="10" t="s">
        <v>345</v>
      </c>
      <c r="M149" s="7"/>
      <c r="N149" s="7"/>
      <c r="O149" s="7"/>
      <c r="P149" s="7"/>
      <c r="Q149" s="6"/>
      <c r="R149" s="7" t="s">
        <v>260</v>
      </c>
      <c r="S149" s="7"/>
      <c r="T149" s="83"/>
      <c r="U149" s="25"/>
      <c r="V149" s="7"/>
      <c r="W149" s="22"/>
      <c r="X149" s="7"/>
      <c r="Y149" s="7"/>
      <c r="Z149" s="7"/>
      <c r="AA149" s="7"/>
      <c r="AB149" s="7"/>
      <c r="AC149" s="7"/>
      <c r="AD149" s="7"/>
      <c r="AE149" s="7"/>
      <c r="AF149" s="7"/>
      <c r="AG149" s="7"/>
    </row>
    <row r="150" spans="1:36" s="93" customFormat="1" ht="12.75" customHeight="1">
      <c r="A150" s="86"/>
      <c r="B150" s="87"/>
      <c r="C150" s="87"/>
      <c r="D150" s="88"/>
      <c r="E150" s="87" t="s">
        <v>372</v>
      </c>
      <c r="F150" s="88"/>
      <c r="G150" s="89"/>
      <c r="H150" s="88"/>
      <c r="I150" s="89"/>
      <c r="J150" s="89"/>
      <c r="K150" s="90"/>
      <c r="L150" s="89"/>
      <c r="M150" s="89" t="s">
        <v>51</v>
      </c>
      <c r="N150" s="89">
        <v>0.97499999999999998</v>
      </c>
      <c r="O150" s="89">
        <v>0.45</v>
      </c>
      <c r="P150" s="89">
        <v>20.09</v>
      </c>
      <c r="Q150" s="91" t="s">
        <v>52</v>
      </c>
      <c r="R150" s="89" t="s">
        <v>347</v>
      </c>
      <c r="S150" s="89" t="s">
        <v>373</v>
      </c>
      <c r="T150" s="83">
        <v>2.3660000000000001</v>
      </c>
      <c r="U150" s="89">
        <v>0.17599999999999999</v>
      </c>
      <c r="V150" s="89">
        <v>37964</v>
      </c>
      <c r="W150" s="92">
        <v>95.7</v>
      </c>
      <c r="X150" s="89">
        <v>26.8</v>
      </c>
      <c r="Y150" s="89"/>
      <c r="Z150" s="89"/>
      <c r="AA150" s="89"/>
      <c r="AB150" s="89">
        <v>2.3130000000000002</v>
      </c>
      <c r="AC150" s="89">
        <v>0.15</v>
      </c>
      <c r="AD150" s="89">
        <v>31858</v>
      </c>
      <c r="AE150" s="89">
        <v>2.4009999999999998</v>
      </c>
      <c r="AF150" s="89">
        <v>2.4009999999999998</v>
      </c>
      <c r="AG150" s="89">
        <v>2.5960000000000001</v>
      </c>
    </row>
    <row r="151" spans="1:36" ht="12.75" customHeight="1">
      <c r="A151" s="3"/>
      <c r="B151" s="12"/>
      <c r="C151" s="12"/>
      <c r="D151" s="4"/>
      <c r="E151" s="12" t="s">
        <v>374</v>
      </c>
      <c r="F151" s="4"/>
      <c r="G151" s="7"/>
      <c r="H151" s="4"/>
      <c r="I151" s="7"/>
      <c r="J151" s="7"/>
      <c r="K151" s="5"/>
      <c r="L151" s="10" t="s">
        <v>375</v>
      </c>
      <c r="M151" s="7" t="s">
        <v>51</v>
      </c>
      <c r="N151" s="7">
        <v>0.94199999999999995</v>
      </c>
      <c r="O151" s="7">
        <v>0.66</v>
      </c>
      <c r="P151" s="7">
        <v>15.85</v>
      </c>
      <c r="Q151" s="6" t="s">
        <v>52</v>
      </c>
      <c r="R151" s="7" t="s">
        <v>341</v>
      </c>
      <c r="S151" s="7" t="s">
        <v>376</v>
      </c>
      <c r="T151" s="83">
        <v>2.851</v>
      </c>
      <c r="U151" s="24">
        <v>0.34599999999999997</v>
      </c>
      <c r="V151" s="7">
        <v>22003</v>
      </c>
      <c r="W151" s="22">
        <v>95.5</v>
      </c>
      <c r="X151" s="7">
        <v>26.1</v>
      </c>
      <c r="Y151" s="7"/>
      <c r="Z151" s="7"/>
      <c r="AA151" s="7"/>
      <c r="AB151" s="7">
        <v>2.7480000000000002</v>
      </c>
      <c r="AC151" s="7">
        <v>0.30499999999999999</v>
      </c>
      <c r="AD151" s="7">
        <v>78.3</v>
      </c>
      <c r="AE151" s="7">
        <v>2.9089999999999998</v>
      </c>
      <c r="AF151" s="7">
        <v>2.9089999999999998</v>
      </c>
      <c r="AG151" s="7">
        <v>2.8340000000000001</v>
      </c>
    </row>
    <row r="152" spans="1:36" ht="12.75" customHeight="1">
      <c r="A152" s="3"/>
      <c r="B152" s="12"/>
      <c r="C152" s="12"/>
      <c r="D152" s="4"/>
      <c r="E152" s="12"/>
      <c r="F152" s="4"/>
      <c r="G152" s="7"/>
      <c r="H152" s="4"/>
      <c r="I152" s="7"/>
      <c r="J152" s="7"/>
      <c r="K152" s="5"/>
      <c r="L152" s="10" t="s">
        <v>346</v>
      </c>
      <c r="M152" s="7" t="s">
        <v>51</v>
      </c>
      <c r="N152" s="7">
        <v>0.90700000000000003</v>
      </c>
      <c r="O152" s="7">
        <v>0.67</v>
      </c>
      <c r="P152" s="7">
        <v>15.98</v>
      </c>
      <c r="Q152" s="6" t="s">
        <v>52</v>
      </c>
      <c r="R152" s="7" t="s">
        <v>347</v>
      </c>
      <c r="S152" s="7" t="s">
        <v>377</v>
      </c>
      <c r="T152" s="83">
        <v>2.851</v>
      </c>
      <c r="U152" s="24">
        <v>0.34300000000000003</v>
      </c>
      <c r="V152" s="7">
        <v>21975</v>
      </c>
      <c r="W152" s="22">
        <v>95.4</v>
      </c>
      <c r="X152" s="7">
        <v>26.1</v>
      </c>
      <c r="Y152" s="7"/>
      <c r="Z152" s="7"/>
      <c r="AA152" s="7"/>
      <c r="AB152" s="7">
        <v>2.7810000000000001</v>
      </c>
      <c r="AC152" s="7">
        <v>0.30099999999999999</v>
      </c>
      <c r="AD152" s="7">
        <v>80.8</v>
      </c>
      <c r="AE152" s="7">
        <v>2.911</v>
      </c>
      <c r="AF152" s="7">
        <v>2.911</v>
      </c>
      <c r="AG152" s="7">
        <v>2.839</v>
      </c>
    </row>
    <row r="153" spans="1:36" ht="12.75" customHeight="1">
      <c r="A153" s="3"/>
      <c r="B153" s="12"/>
      <c r="C153" s="12"/>
      <c r="D153" s="4"/>
      <c r="E153" s="12"/>
      <c r="F153" s="4"/>
      <c r="G153" s="7"/>
      <c r="H153" s="4"/>
      <c r="I153" s="7"/>
      <c r="J153" s="7"/>
      <c r="K153" s="5"/>
      <c r="L153" s="10" t="s">
        <v>353</v>
      </c>
      <c r="M153" s="7" t="s">
        <v>51</v>
      </c>
      <c r="N153" s="7">
        <v>0.91100000000000003</v>
      </c>
      <c r="O153" s="7">
        <v>0.65</v>
      </c>
      <c r="P153" s="7">
        <v>16.38</v>
      </c>
      <c r="Q153" s="6" t="s">
        <v>52</v>
      </c>
      <c r="R153" s="7" t="s">
        <v>228</v>
      </c>
      <c r="S153" s="7" t="s">
        <v>378</v>
      </c>
      <c r="T153" s="83">
        <v>2.9809999999999999</v>
      </c>
      <c r="U153" s="25">
        <v>0.216</v>
      </c>
      <c r="V153" s="7">
        <v>36866</v>
      </c>
      <c r="W153" s="22">
        <v>94.3</v>
      </c>
      <c r="X153" s="7">
        <v>13.4</v>
      </c>
      <c r="Y153" s="7"/>
      <c r="Z153" s="7"/>
      <c r="AA153" s="7"/>
      <c r="AB153" s="7">
        <v>2.8130000000000002</v>
      </c>
      <c r="AC153" s="7">
        <v>0.187</v>
      </c>
      <c r="AD153" s="7">
        <v>71.900000000000006</v>
      </c>
      <c r="AE153" s="7">
        <v>3.355</v>
      </c>
      <c r="AF153" s="7">
        <v>2.726</v>
      </c>
      <c r="AG153" s="7">
        <v>2.9820000000000002</v>
      </c>
    </row>
    <row r="154" spans="1:36" ht="12.75" customHeight="1">
      <c r="A154" s="3"/>
      <c r="B154" s="12"/>
      <c r="C154" s="12"/>
      <c r="D154" s="4"/>
      <c r="E154" s="12" t="s">
        <v>379</v>
      </c>
      <c r="F154" s="4"/>
      <c r="G154" s="7"/>
      <c r="H154" s="4"/>
      <c r="I154" s="7"/>
      <c r="J154" s="7"/>
      <c r="K154" s="5"/>
      <c r="L154" s="10" t="s">
        <v>380</v>
      </c>
      <c r="M154" s="7" t="s">
        <v>51</v>
      </c>
      <c r="N154" s="7">
        <v>0.87</v>
      </c>
      <c r="O154" s="7">
        <v>0.72</v>
      </c>
      <c r="P154" s="7">
        <v>13.71</v>
      </c>
      <c r="Q154" s="21" t="s">
        <v>52</v>
      </c>
      <c r="R154" s="7" t="s">
        <v>206</v>
      </c>
      <c r="S154" t="s">
        <v>381</v>
      </c>
      <c r="T154" s="83">
        <v>2.819</v>
      </c>
      <c r="U154" s="7">
        <v>0.20399999999999999</v>
      </c>
      <c r="V154" s="7">
        <v>43409</v>
      </c>
      <c r="W154" s="7">
        <v>96.1</v>
      </c>
      <c r="X154" s="7">
        <v>13.5</v>
      </c>
      <c r="Y154" s="7"/>
      <c r="Z154" s="7"/>
      <c r="AA154" s="7"/>
      <c r="AB154" s="7">
        <v>2.698</v>
      </c>
      <c r="AC154" s="7">
        <v>0.193</v>
      </c>
      <c r="AD154" s="7">
        <v>79.599999999999994</v>
      </c>
      <c r="AE154" s="7">
        <v>2.8279999999999998</v>
      </c>
      <c r="AF154" s="7">
        <v>2.8140000000000001</v>
      </c>
      <c r="AG154" s="7">
        <v>2.823</v>
      </c>
    </row>
    <row r="155" spans="1:36" ht="12.75" customHeight="1">
      <c r="A155" s="3"/>
      <c r="B155" s="12"/>
      <c r="C155" s="12"/>
      <c r="D155" s="4"/>
      <c r="E155" s="12"/>
      <c r="F155" s="4"/>
      <c r="G155" s="7"/>
      <c r="H155" s="4"/>
      <c r="I155" s="7"/>
      <c r="J155" s="7"/>
      <c r="K155" s="5"/>
      <c r="L155" s="10" t="s">
        <v>208</v>
      </c>
      <c r="M155" s="7"/>
      <c r="N155" s="7"/>
      <c r="O155" s="7"/>
      <c r="P155" s="7"/>
      <c r="Q155" s="21"/>
      <c r="R155" s="7" t="s">
        <v>209</v>
      </c>
      <c r="T155" s="83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</row>
    <row r="156" spans="1:36" ht="12.75" customHeight="1">
      <c r="A156" s="3"/>
      <c r="B156" s="12"/>
      <c r="C156" s="12"/>
      <c r="D156" s="4"/>
      <c r="E156" s="12"/>
      <c r="F156" s="4"/>
      <c r="G156" s="7"/>
      <c r="H156" s="4"/>
      <c r="I156" s="7"/>
      <c r="J156" s="7"/>
      <c r="K156" s="5"/>
      <c r="L156" s="10" t="s">
        <v>211</v>
      </c>
      <c r="M156" s="7" t="s">
        <v>51</v>
      </c>
      <c r="N156" s="7">
        <v>0.82</v>
      </c>
      <c r="O156" s="7">
        <v>0.72</v>
      </c>
      <c r="P156" s="7">
        <v>18.239999999999998</v>
      </c>
      <c r="Q156" s="21" t="s">
        <v>52</v>
      </c>
      <c r="R156" s="7" t="s">
        <v>212</v>
      </c>
      <c r="S156" t="s">
        <v>382</v>
      </c>
      <c r="T156" s="83">
        <v>2.738</v>
      </c>
      <c r="U156" s="24">
        <v>0.31900000000000001</v>
      </c>
      <c r="V156" s="7">
        <v>24223</v>
      </c>
      <c r="W156" s="7">
        <v>95.8</v>
      </c>
      <c r="X156" s="7">
        <v>26.2</v>
      </c>
      <c r="Y156" s="7"/>
      <c r="Z156" s="7"/>
      <c r="AA156" s="7"/>
      <c r="AB156" s="7">
        <v>2.6819999999999999</v>
      </c>
      <c r="AC156" s="7">
        <v>0.214</v>
      </c>
      <c r="AD156" s="7">
        <v>63.1</v>
      </c>
      <c r="AE156" s="7">
        <v>2.9390000000000001</v>
      </c>
      <c r="AF156" s="7">
        <v>2.9390000000000001</v>
      </c>
      <c r="AG156" s="7">
        <v>2.7890000000000001</v>
      </c>
    </row>
    <row r="157" spans="1:36" ht="12.75" customHeight="1">
      <c r="A157" s="3" t="s">
        <v>33</v>
      </c>
      <c r="B157" s="12" t="s">
        <v>383</v>
      </c>
      <c r="C157" s="12" t="s">
        <v>383</v>
      </c>
      <c r="D157" s="4" t="s">
        <v>307</v>
      </c>
      <c r="E157" s="12" t="s">
        <v>383</v>
      </c>
      <c r="F157" s="4" t="s">
        <v>308</v>
      </c>
      <c r="G157" s="7"/>
      <c r="H157" s="4" t="s">
        <v>384</v>
      </c>
      <c r="I157" s="7"/>
      <c r="J157" s="7"/>
      <c r="K157" s="5" t="s">
        <v>204</v>
      </c>
      <c r="L157" s="10" t="s">
        <v>385</v>
      </c>
      <c r="M157" s="7" t="s">
        <v>51</v>
      </c>
      <c r="N157" s="7">
        <v>0.51700000000000002</v>
      </c>
      <c r="O157" s="7">
        <v>0.56999999999999995</v>
      </c>
      <c r="P157" s="7">
        <v>16.62</v>
      </c>
      <c r="Q157" s="21" t="s">
        <v>52</v>
      </c>
      <c r="R157" s="7" t="s">
        <v>206</v>
      </c>
      <c r="S157" s="7" t="s">
        <v>386</v>
      </c>
      <c r="T157" s="102">
        <v>2.633</v>
      </c>
      <c r="U157" s="7">
        <v>0.20100000000000001</v>
      </c>
      <c r="V157" s="7">
        <v>52413</v>
      </c>
      <c r="W157" s="7">
        <v>93.1</v>
      </c>
      <c r="X157" s="7">
        <v>13.6</v>
      </c>
      <c r="Y157" s="7"/>
      <c r="Z157" s="7"/>
      <c r="AA157" s="7"/>
      <c r="AB157" s="7">
        <v>2.5030000000000001</v>
      </c>
      <c r="AC157" s="7">
        <v>0.184</v>
      </c>
      <c r="AD157" s="7">
        <v>74.3</v>
      </c>
      <c r="AE157" s="7">
        <v>2.831</v>
      </c>
      <c r="AF157" s="7">
        <v>2.5990000000000002</v>
      </c>
      <c r="AG157" s="7">
        <v>2.5870000000000002</v>
      </c>
    </row>
    <row r="158" spans="1:36" ht="12.75" customHeight="1">
      <c r="A158" s="3"/>
      <c r="B158" s="12"/>
      <c r="C158" s="12"/>
      <c r="D158" s="4"/>
      <c r="E158" s="12"/>
      <c r="F158" s="4"/>
      <c r="G158" s="7"/>
      <c r="H158" s="4"/>
      <c r="I158" s="7"/>
      <c r="J158" s="7"/>
      <c r="K158" s="5"/>
      <c r="L158" s="10" t="s">
        <v>387</v>
      </c>
      <c r="M158" s="7" t="s">
        <v>51</v>
      </c>
      <c r="N158" s="7">
        <v>0.77400000000000002</v>
      </c>
      <c r="O158" s="7">
        <v>0.52</v>
      </c>
      <c r="P158" s="7">
        <v>17.12</v>
      </c>
      <c r="Q158" s="21" t="s">
        <v>217</v>
      </c>
      <c r="R158" s="7" t="s">
        <v>206</v>
      </c>
      <c r="S158" s="7" t="s">
        <v>388</v>
      </c>
      <c r="T158" s="102">
        <v>2.6309999999999998</v>
      </c>
      <c r="U158" s="7">
        <v>0.188</v>
      </c>
      <c r="V158" s="7">
        <v>52522</v>
      </c>
      <c r="W158" s="7">
        <v>93.2</v>
      </c>
      <c r="X158" s="7">
        <v>12.1</v>
      </c>
      <c r="Y158" s="7"/>
      <c r="Z158" s="7"/>
      <c r="AA158" s="7"/>
      <c r="AB158" s="7">
        <v>2.5099999999999998</v>
      </c>
      <c r="AC158" s="7">
        <v>0.17299999999999999</v>
      </c>
      <c r="AD158" s="7">
        <v>74.8</v>
      </c>
      <c r="AE158" s="7">
        <v>2.8239999999999998</v>
      </c>
      <c r="AF158" s="7">
        <v>2.6040000000000001</v>
      </c>
      <c r="AG158" s="7">
        <v>2.5960000000000001</v>
      </c>
    </row>
    <row r="159" spans="1:36" ht="12.75" customHeight="1">
      <c r="A159" s="3"/>
      <c r="B159" s="12"/>
      <c r="C159" s="12"/>
      <c r="D159" s="4"/>
      <c r="E159" s="12"/>
      <c r="F159" s="4"/>
      <c r="G159" s="7"/>
      <c r="H159" s="4"/>
      <c r="I159" s="7"/>
      <c r="J159" s="7"/>
      <c r="K159" s="5"/>
      <c r="L159" s="10" t="s">
        <v>389</v>
      </c>
      <c r="M159" s="7" t="s">
        <v>51</v>
      </c>
      <c r="N159" s="7">
        <v>0.85099999999999998</v>
      </c>
      <c r="O159" s="7">
        <v>0.52</v>
      </c>
      <c r="P159" s="7">
        <v>17.329999999999998</v>
      </c>
      <c r="Q159" s="21" t="s">
        <v>217</v>
      </c>
      <c r="R159" s="7" t="s">
        <v>209</v>
      </c>
      <c r="S159" s="7" t="s">
        <v>390</v>
      </c>
      <c r="T159" s="102">
        <v>2.6749999999999998</v>
      </c>
      <c r="U159" s="7">
        <v>0.16700000000000001</v>
      </c>
      <c r="V159" s="7">
        <v>92705</v>
      </c>
      <c r="W159" s="7">
        <v>89.4</v>
      </c>
      <c r="X159" s="7">
        <v>6.7</v>
      </c>
      <c r="Y159" s="7"/>
      <c r="Z159" s="7"/>
      <c r="AA159" s="7"/>
      <c r="AB159" s="7">
        <v>2.5819999999999999</v>
      </c>
      <c r="AC159" s="7">
        <v>0.14599999999999999</v>
      </c>
      <c r="AD159" s="7">
        <v>69.099999999999994</v>
      </c>
      <c r="AE159" s="7">
        <v>2.706</v>
      </c>
      <c r="AF159" s="7">
        <v>2.92</v>
      </c>
      <c r="AG159" s="7"/>
      <c r="AJ159" t="s">
        <v>286</v>
      </c>
    </row>
    <row r="160" spans="1:36" ht="12.75" customHeight="1">
      <c r="A160" s="3"/>
      <c r="B160" s="12"/>
      <c r="C160" s="12"/>
      <c r="D160" s="4"/>
      <c r="E160" s="12"/>
      <c r="F160" s="4"/>
      <c r="G160" s="7"/>
      <c r="H160" s="4"/>
      <c r="I160" s="7"/>
      <c r="J160" s="7"/>
      <c r="K160" s="5"/>
      <c r="L160" s="10" t="s">
        <v>211</v>
      </c>
      <c r="M160" s="7" t="s">
        <v>51</v>
      </c>
      <c r="N160" s="7">
        <v>0.85</v>
      </c>
      <c r="O160" s="7">
        <v>0.65</v>
      </c>
      <c r="P160" s="7">
        <v>9.92</v>
      </c>
      <c r="Q160" s="21" t="s">
        <v>217</v>
      </c>
      <c r="R160" s="7" t="s">
        <v>212</v>
      </c>
      <c r="S160" s="7" t="s">
        <v>391</v>
      </c>
      <c r="T160" s="102">
        <v>2.605</v>
      </c>
      <c r="U160" s="24">
        <v>0.58699999999999997</v>
      </c>
      <c r="V160" s="7">
        <v>28903</v>
      </c>
      <c r="W160" s="7">
        <v>93.9</v>
      </c>
      <c r="X160" s="7">
        <v>19.3</v>
      </c>
      <c r="Y160" s="7"/>
      <c r="Z160" s="7"/>
      <c r="AA160" s="7"/>
      <c r="AB160" s="7">
        <v>2.4119999999999999</v>
      </c>
      <c r="AC160" s="7">
        <v>0.46800000000000003</v>
      </c>
      <c r="AD160" s="7">
        <v>62.5</v>
      </c>
      <c r="AE160" s="7">
        <v>2.778</v>
      </c>
      <c r="AF160" s="7">
        <v>2.778</v>
      </c>
      <c r="AG160" s="7">
        <v>2.577</v>
      </c>
    </row>
    <row r="161" spans="1:33" ht="12.75" customHeight="1">
      <c r="A161" s="3" t="s">
        <v>33</v>
      </c>
      <c r="B161" s="12" t="s">
        <v>392</v>
      </c>
      <c r="C161" s="12" t="s">
        <v>392</v>
      </c>
      <c r="D161" s="4" t="s">
        <v>307</v>
      </c>
      <c r="E161" s="12" t="s">
        <v>392</v>
      </c>
      <c r="F161" s="4" t="s">
        <v>278</v>
      </c>
      <c r="G161" s="7"/>
      <c r="H161" s="4" t="s">
        <v>384</v>
      </c>
      <c r="I161" s="7"/>
      <c r="J161" s="7"/>
      <c r="K161" s="5" t="s">
        <v>204</v>
      </c>
      <c r="L161" s="7" t="s">
        <v>45</v>
      </c>
      <c r="M161" s="7"/>
      <c r="N161" s="7"/>
      <c r="O161" s="7"/>
      <c r="P161" s="7"/>
      <c r="Q161" s="6"/>
      <c r="R161" s="7"/>
      <c r="S161" s="7"/>
      <c r="T161" s="83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</row>
    <row r="162" spans="1:33" ht="12.75" customHeight="1">
      <c r="A162" s="3" t="s">
        <v>33</v>
      </c>
      <c r="B162" s="12" t="s">
        <v>393</v>
      </c>
      <c r="C162" s="12" t="s">
        <v>393</v>
      </c>
      <c r="D162" s="4" t="s">
        <v>307</v>
      </c>
      <c r="E162" s="12" t="s">
        <v>393</v>
      </c>
      <c r="F162" s="4" t="s">
        <v>278</v>
      </c>
      <c r="G162" s="7"/>
      <c r="H162" s="4" t="s">
        <v>384</v>
      </c>
      <c r="I162" s="7"/>
      <c r="J162" s="7"/>
      <c r="K162" s="5" t="s">
        <v>204</v>
      </c>
      <c r="L162" s="83" t="s">
        <v>394</v>
      </c>
      <c r="M162" s="7" t="s">
        <v>51</v>
      </c>
      <c r="N162" s="7">
        <v>0.79100000000000004</v>
      </c>
      <c r="O162" s="7">
        <v>0.42</v>
      </c>
      <c r="P162" s="7">
        <v>23.46</v>
      </c>
      <c r="Q162" s="21" t="s">
        <v>52</v>
      </c>
      <c r="R162" s="7" t="s">
        <v>347</v>
      </c>
      <c r="S162" s="7" t="s">
        <v>395</v>
      </c>
      <c r="T162" s="83">
        <v>2.4329999999999998</v>
      </c>
      <c r="U162" s="7">
        <v>0.21199999999999999</v>
      </c>
      <c r="V162" s="7">
        <v>34866</v>
      </c>
      <c r="W162" s="7">
        <v>95.5</v>
      </c>
      <c r="X162" s="7">
        <v>25</v>
      </c>
      <c r="Y162" s="7"/>
      <c r="Z162" s="7"/>
      <c r="AA162" s="7"/>
      <c r="AB162" s="7">
        <v>2.4129999999999998</v>
      </c>
      <c r="AC162" s="7">
        <v>0.186</v>
      </c>
      <c r="AD162" s="7">
        <v>84.7</v>
      </c>
      <c r="AE162" s="7">
        <v>2.5019999999999998</v>
      </c>
      <c r="AF162" s="7">
        <v>2.5019999999999998</v>
      </c>
      <c r="AG162" s="7">
        <v>2.415</v>
      </c>
    </row>
    <row r="163" spans="1:33" ht="12.75" customHeight="1">
      <c r="A163" s="3"/>
      <c r="B163" s="12"/>
      <c r="C163" s="12"/>
      <c r="D163" s="4"/>
      <c r="E163" s="12"/>
      <c r="F163" s="4"/>
      <c r="G163" s="7"/>
      <c r="H163" s="4"/>
      <c r="I163" s="7"/>
      <c r="J163" s="7"/>
      <c r="K163" s="5"/>
      <c r="L163" s="10" t="s">
        <v>353</v>
      </c>
      <c r="M163" s="7" t="s">
        <v>51</v>
      </c>
      <c r="N163" s="7">
        <v>0.85699999999999998</v>
      </c>
      <c r="O163" s="7">
        <v>0.45</v>
      </c>
      <c r="P163" s="7">
        <v>23.44</v>
      </c>
      <c r="Q163" s="6" t="s">
        <v>52</v>
      </c>
      <c r="R163" s="7" t="s">
        <v>228</v>
      </c>
      <c r="S163" s="7" t="s">
        <v>396</v>
      </c>
      <c r="T163" s="83">
        <v>2.4660000000000002</v>
      </c>
      <c r="U163" s="25">
        <v>0.19700000000000001</v>
      </c>
      <c r="V163" s="7">
        <v>65338</v>
      </c>
      <c r="W163" s="22">
        <v>94.9</v>
      </c>
      <c r="X163" s="7">
        <v>12.4</v>
      </c>
      <c r="Y163" s="7"/>
      <c r="Z163" s="7"/>
      <c r="AA163" s="7"/>
      <c r="AB163" s="7">
        <v>2.4710000000000001</v>
      </c>
      <c r="AC163" s="7">
        <v>0.155</v>
      </c>
      <c r="AD163" s="7">
        <v>79.7</v>
      </c>
      <c r="AE163" s="7">
        <v>2.536</v>
      </c>
      <c r="AF163" s="7">
        <v>2.653</v>
      </c>
      <c r="AG163" s="7">
        <v>2.5419999999999998</v>
      </c>
    </row>
    <row r="164" spans="1:33" ht="12.75" customHeight="1">
      <c r="A164" s="3"/>
      <c r="B164" s="12"/>
      <c r="C164" s="12"/>
      <c r="D164" s="4"/>
      <c r="E164" s="12"/>
      <c r="F164" s="4"/>
      <c r="G164" s="7"/>
      <c r="H164" s="4"/>
      <c r="I164" s="7"/>
      <c r="J164" s="7"/>
      <c r="K164" s="5"/>
      <c r="L164" s="10" t="s">
        <v>208</v>
      </c>
      <c r="M164" s="7"/>
      <c r="N164" s="7"/>
      <c r="O164" s="7"/>
      <c r="P164" s="7"/>
      <c r="Q164" s="6"/>
      <c r="R164" s="7" t="s">
        <v>209</v>
      </c>
      <c r="S164" s="7"/>
      <c r="T164" s="83"/>
      <c r="U164" s="25"/>
      <c r="V164" s="7"/>
      <c r="W164" s="22"/>
      <c r="X164" s="7"/>
      <c r="Y164" s="7"/>
      <c r="Z164" s="7"/>
      <c r="AA164" s="7"/>
      <c r="AB164" s="7"/>
      <c r="AC164" s="7"/>
      <c r="AD164" s="7"/>
      <c r="AE164" s="7"/>
      <c r="AF164" s="7"/>
      <c r="AG164" s="7"/>
    </row>
    <row r="165" spans="1:33" ht="12.75" customHeight="1">
      <c r="A165" s="3"/>
      <c r="B165" s="12"/>
      <c r="C165" s="12"/>
      <c r="D165" s="4"/>
      <c r="E165" s="12"/>
      <c r="F165" s="4"/>
      <c r="G165" s="7"/>
      <c r="H165" s="4"/>
      <c r="I165" s="7"/>
      <c r="J165" s="7"/>
      <c r="K165" s="5"/>
      <c r="L165" s="10" t="s">
        <v>345</v>
      </c>
      <c r="M165" s="7"/>
      <c r="N165" s="7"/>
      <c r="O165" s="7"/>
      <c r="P165" s="7"/>
      <c r="Q165" s="6"/>
      <c r="R165" s="7" t="s">
        <v>260</v>
      </c>
      <c r="S165" s="7"/>
      <c r="T165" s="83"/>
      <c r="U165" s="25"/>
      <c r="V165" s="7"/>
      <c r="W165" s="22"/>
      <c r="X165" s="7"/>
      <c r="Y165" s="7"/>
      <c r="Z165" s="7"/>
      <c r="AA165" s="7"/>
      <c r="AB165" s="7"/>
      <c r="AC165" s="7"/>
      <c r="AD165" s="7"/>
      <c r="AE165" s="7"/>
      <c r="AF165" s="7"/>
      <c r="AG165" s="7"/>
    </row>
    <row r="166" spans="1:33" ht="12.75" customHeight="1">
      <c r="A166" s="3" t="s">
        <v>33</v>
      </c>
      <c r="B166" s="12" t="s">
        <v>397</v>
      </c>
      <c r="C166" s="12" t="s">
        <v>397</v>
      </c>
      <c r="D166" s="4" t="s">
        <v>248</v>
      </c>
      <c r="E166" s="12" t="s">
        <v>397</v>
      </c>
      <c r="F166" s="4" t="s">
        <v>398</v>
      </c>
      <c r="G166" s="7"/>
      <c r="H166" s="4" t="s">
        <v>399</v>
      </c>
      <c r="I166" s="7"/>
      <c r="J166" s="7"/>
      <c r="K166" s="5" t="s">
        <v>204</v>
      </c>
      <c r="L166" s="10" t="s">
        <v>400</v>
      </c>
      <c r="M166" s="7" t="s">
        <v>225</v>
      </c>
      <c r="N166" s="7">
        <v>0.7</v>
      </c>
      <c r="O166" s="7">
        <v>0.33</v>
      </c>
      <c r="P166" s="7">
        <v>16.66</v>
      </c>
      <c r="Q166" s="21" t="s">
        <v>52</v>
      </c>
      <c r="R166" s="7" t="s">
        <v>347</v>
      </c>
      <c r="S166" s="7" t="s">
        <v>401</v>
      </c>
      <c r="T166" s="83">
        <v>2.2749999999999999</v>
      </c>
      <c r="U166" s="7">
        <v>0.23499999999999999</v>
      </c>
      <c r="V166" s="7">
        <v>43225</v>
      </c>
      <c r="W166" s="7">
        <v>96.4</v>
      </c>
      <c r="X166" s="7">
        <v>26.3</v>
      </c>
      <c r="Y166" s="7"/>
      <c r="Z166" s="7"/>
      <c r="AA166" s="7"/>
      <c r="AB166" s="7">
        <v>2.2549999999999999</v>
      </c>
      <c r="AC166" s="7">
        <v>0.221</v>
      </c>
      <c r="AD166" s="7">
        <v>88</v>
      </c>
      <c r="AE166" s="7">
        <v>2.2690000000000001</v>
      </c>
      <c r="AF166" s="7">
        <v>2.2690000000000001</v>
      </c>
      <c r="AG166" s="7">
        <v>2.339</v>
      </c>
    </row>
    <row r="167" spans="1:33" ht="12.75" customHeight="1">
      <c r="A167" s="3"/>
      <c r="B167" s="12"/>
      <c r="C167" s="12"/>
      <c r="D167" s="4"/>
      <c r="E167" s="12"/>
      <c r="F167" s="4"/>
      <c r="G167" s="7"/>
      <c r="H167" s="4"/>
      <c r="I167" s="7"/>
      <c r="J167" s="7"/>
      <c r="K167" s="5"/>
      <c r="L167" s="10" t="s">
        <v>353</v>
      </c>
      <c r="M167" s="7" t="s">
        <v>51</v>
      </c>
      <c r="N167" s="7">
        <v>0.70899999999999996</v>
      </c>
      <c r="O167" s="7">
        <v>0.34</v>
      </c>
      <c r="P167" s="7">
        <v>17.920000000000002</v>
      </c>
      <c r="Q167" s="6" t="s">
        <v>52</v>
      </c>
      <c r="R167" s="7" t="s">
        <v>228</v>
      </c>
      <c r="S167" s="7" t="s">
        <v>402</v>
      </c>
      <c r="T167" s="83">
        <v>2.2869999999999999</v>
      </c>
      <c r="U167" s="25">
        <v>0.17499999999999999</v>
      </c>
      <c r="V167" s="7">
        <v>82725</v>
      </c>
      <c r="W167" s="22">
        <v>95.6</v>
      </c>
      <c r="X167" s="7">
        <v>13.5</v>
      </c>
      <c r="Y167" s="7"/>
      <c r="Z167" s="7"/>
      <c r="AA167" s="7"/>
      <c r="AB167" s="7">
        <v>2.226</v>
      </c>
      <c r="AC167" s="7">
        <v>0.158</v>
      </c>
      <c r="AD167" s="7">
        <v>75.099999999999994</v>
      </c>
      <c r="AE167" s="7">
        <v>2.355</v>
      </c>
      <c r="AF167" s="7">
        <v>2.3250000000000002</v>
      </c>
      <c r="AG167" s="7">
        <v>2.4129999999999998</v>
      </c>
    </row>
    <row r="168" spans="1:33" ht="12.75" customHeight="1">
      <c r="A168" s="3"/>
      <c r="B168" s="12"/>
      <c r="C168" s="12"/>
      <c r="D168" s="4"/>
      <c r="E168" s="12"/>
      <c r="F168" s="4"/>
      <c r="G168" s="7"/>
      <c r="H168" s="4"/>
      <c r="I168" s="7"/>
      <c r="J168" s="7"/>
      <c r="K168" s="5"/>
      <c r="L168" s="10" t="s">
        <v>208</v>
      </c>
      <c r="M168" s="7"/>
      <c r="N168" s="7"/>
      <c r="O168" s="7"/>
      <c r="P168" s="7"/>
      <c r="Q168" s="6"/>
      <c r="R168" s="7" t="s">
        <v>209</v>
      </c>
      <c r="S168" s="7"/>
      <c r="T168" s="83"/>
      <c r="U168" s="25"/>
      <c r="V168" s="7"/>
      <c r="W168" s="22"/>
      <c r="X168" s="7"/>
      <c r="Y168" s="7"/>
      <c r="Z168" s="7"/>
      <c r="AA168" s="7"/>
      <c r="AB168" s="7"/>
      <c r="AC168" s="7"/>
      <c r="AD168" s="7"/>
      <c r="AE168" s="7"/>
      <c r="AF168" s="7"/>
      <c r="AG168" s="7"/>
    </row>
    <row r="169" spans="1:33" ht="12.75" customHeight="1">
      <c r="A169" s="3"/>
      <c r="B169" s="12"/>
      <c r="C169" s="12"/>
      <c r="D169" s="4"/>
      <c r="E169" s="12"/>
      <c r="F169" s="4"/>
      <c r="G169" s="7"/>
      <c r="H169" s="4"/>
      <c r="I169" s="7"/>
      <c r="J169" s="7"/>
      <c r="K169" s="5"/>
      <c r="L169" s="10" t="s">
        <v>345</v>
      </c>
      <c r="M169" s="7"/>
      <c r="N169" s="7"/>
      <c r="O169" s="7"/>
      <c r="P169" s="7"/>
      <c r="Q169" s="6"/>
      <c r="R169" s="7" t="s">
        <v>260</v>
      </c>
      <c r="S169" s="7"/>
      <c r="T169" s="83"/>
      <c r="U169" s="25"/>
      <c r="V169" s="7"/>
      <c r="W169" s="22"/>
      <c r="X169" s="7"/>
      <c r="Y169" s="7"/>
      <c r="Z169" s="7"/>
      <c r="AA169" s="7"/>
      <c r="AB169" s="7"/>
      <c r="AC169" s="7"/>
      <c r="AD169" s="7"/>
      <c r="AE169" s="7"/>
      <c r="AF169" s="7"/>
      <c r="AG169" s="7"/>
    </row>
    <row r="170" spans="1:33" ht="12.75" customHeight="1">
      <c r="A170" s="3" t="s">
        <v>33</v>
      </c>
      <c r="B170" s="12" t="s">
        <v>403</v>
      </c>
      <c r="C170" s="12" t="s">
        <v>403</v>
      </c>
      <c r="D170" s="4" t="s">
        <v>248</v>
      </c>
      <c r="E170" s="12" t="s">
        <v>403</v>
      </c>
      <c r="F170" s="4" t="s">
        <v>398</v>
      </c>
      <c r="G170" s="7"/>
      <c r="H170" s="4" t="s">
        <v>399</v>
      </c>
      <c r="I170" s="7"/>
      <c r="J170" s="7"/>
      <c r="K170" s="5" t="s">
        <v>204</v>
      </c>
      <c r="L170" s="10" t="s">
        <v>404</v>
      </c>
      <c r="M170" s="7" t="s">
        <v>51</v>
      </c>
      <c r="N170" s="22">
        <v>0.59499999999999997</v>
      </c>
      <c r="O170" s="7">
        <v>0.52500000000000002</v>
      </c>
      <c r="P170" s="7">
        <v>13.47</v>
      </c>
      <c r="Q170" s="21" t="s">
        <v>52</v>
      </c>
      <c r="R170" s="7" t="s">
        <v>206</v>
      </c>
      <c r="S170" s="7" t="s">
        <v>405</v>
      </c>
      <c r="T170" s="83">
        <v>2.7759999999999998</v>
      </c>
      <c r="U170" s="7">
        <v>0.22500000000000001</v>
      </c>
      <c r="V170" s="7">
        <v>44816</v>
      </c>
      <c r="W170" s="7">
        <v>95.5</v>
      </c>
      <c r="X170" s="7">
        <v>13.5</v>
      </c>
      <c r="Y170" s="7"/>
      <c r="Z170" s="7"/>
      <c r="AA170" s="7"/>
      <c r="AB170" s="7">
        <v>2.7280000000000002</v>
      </c>
      <c r="AC170" s="7">
        <v>0.185</v>
      </c>
      <c r="AD170" s="7">
        <v>71.5</v>
      </c>
      <c r="AE170" s="7">
        <v>2.9990000000000001</v>
      </c>
      <c r="AF170" s="7">
        <v>2.8719999999999999</v>
      </c>
      <c r="AG170" s="7">
        <v>2.915</v>
      </c>
    </row>
    <row r="171" spans="1:33" ht="12.75" customHeight="1">
      <c r="A171" s="3"/>
      <c r="B171" s="12"/>
      <c r="C171" s="12"/>
      <c r="D171" s="4"/>
      <c r="E171" s="12"/>
      <c r="F171" s="4"/>
      <c r="G171" s="7"/>
      <c r="H171" s="4"/>
      <c r="I171" s="7"/>
      <c r="J171" s="7"/>
      <c r="K171" s="5"/>
      <c r="L171" s="10" t="s">
        <v>208</v>
      </c>
      <c r="M171" s="7"/>
      <c r="N171" s="7"/>
      <c r="O171" s="7"/>
      <c r="P171" s="7"/>
      <c r="Q171" s="6"/>
      <c r="R171" s="7" t="s">
        <v>209</v>
      </c>
      <c r="S171" s="7"/>
      <c r="T171" s="83"/>
      <c r="U171" s="25"/>
      <c r="V171" s="7"/>
      <c r="W171" s="22"/>
      <c r="X171" s="7"/>
      <c r="Y171" s="7"/>
      <c r="Z171" s="7"/>
      <c r="AA171" s="7"/>
      <c r="AB171" s="7"/>
      <c r="AC171" s="7"/>
      <c r="AD171" s="7"/>
      <c r="AE171" s="7"/>
      <c r="AF171" s="7"/>
      <c r="AG171" s="7"/>
    </row>
    <row r="172" spans="1:33" ht="12.75" customHeight="1">
      <c r="A172" s="3"/>
      <c r="B172" s="12"/>
      <c r="C172" s="12"/>
      <c r="D172" s="4"/>
      <c r="E172" s="12"/>
      <c r="F172" s="4"/>
      <c r="G172" s="7"/>
      <c r="H172" s="4"/>
      <c r="I172" s="7"/>
      <c r="J172" s="7"/>
      <c r="K172" s="5"/>
      <c r="L172" s="10" t="s">
        <v>211</v>
      </c>
      <c r="M172" s="7" t="s">
        <v>51</v>
      </c>
      <c r="N172" s="7">
        <v>0.48</v>
      </c>
      <c r="O172" s="7">
        <v>0.56000000000000005</v>
      </c>
      <c r="P172" s="7">
        <v>10.49</v>
      </c>
      <c r="Q172" s="6" t="s">
        <v>52</v>
      </c>
      <c r="R172" s="7" t="s">
        <v>212</v>
      </c>
      <c r="S172" s="7" t="s">
        <v>406</v>
      </c>
      <c r="T172" s="83">
        <v>2.5499999999999998</v>
      </c>
      <c r="U172" s="24">
        <v>0.6</v>
      </c>
      <c r="V172" s="7">
        <v>28985</v>
      </c>
      <c r="W172" s="22">
        <v>94.4</v>
      </c>
      <c r="X172" s="7">
        <v>26.2</v>
      </c>
      <c r="Y172" s="7"/>
      <c r="Z172" s="7"/>
      <c r="AA172" s="7"/>
      <c r="AB172" s="7">
        <v>2.64</v>
      </c>
      <c r="AC172" s="7">
        <v>0.34300000000000003</v>
      </c>
      <c r="AD172" s="7">
        <v>61</v>
      </c>
      <c r="AE172" s="7">
        <v>2.9910000000000001</v>
      </c>
      <c r="AF172" s="7">
        <v>2.9910000000000001</v>
      </c>
      <c r="AG172" s="7">
        <v>2.82</v>
      </c>
    </row>
    <row r="173" spans="1:33" ht="12.75" customHeight="1">
      <c r="A173" s="3" t="s">
        <v>33</v>
      </c>
      <c r="B173" s="12" t="s">
        <v>407</v>
      </c>
      <c r="C173" s="12" t="s">
        <v>407</v>
      </c>
      <c r="D173" s="4" t="s">
        <v>248</v>
      </c>
      <c r="E173" s="12" t="s">
        <v>407</v>
      </c>
      <c r="F173" s="4" t="s">
        <v>398</v>
      </c>
      <c r="G173" s="7"/>
      <c r="H173" s="4" t="s">
        <v>399</v>
      </c>
      <c r="I173" s="7"/>
      <c r="J173" s="7"/>
      <c r="K173" s="5" t="s">
        <v>204</v>
      </c>
      <c r="L173" s="10" t="s">
        <v>404</v>
      </c>
      <c r="M173" s="7" t="s">
        <v>51</v>
      </c>
      <c r="N173" s="22">
        <v>0.7</v>
      </c>
      <c r="O173" s="7">
        <v>0.57999999999999996</v>
      </c>
      <c r="P173" s="7">
        <v>22.75</v>
      </c>
      <c r="Q173" s="21" t="s">
        <v>52</v>
      </c>
      <c r="R173" s="7" t="s">
        <v>341</v>
      </c>
      <c r="S173" s="7" t="s">
        <v>408</v>
      </c>
      <c r="T173" s="83">
        <v>2.6</v>
      </c>
      <c r="U173" s="24">
        <v>0.40500000000000003</v>
      </c>
      <c r="V173" s="7">
        <v>27972</v>
      </c>
      <c r="W173" s="7">
        <v>93.5</v>
      </c>
      <c r="X173" s="7">
        <v>26.1</v>
      </c>
      <c r="Y173" s="7"/>
      <c r="Z173" s="7"/>
      <c r="AA173" s="7"/>
      <c r="AB173" s="7">
        <v>2.54</v>
      </c>
      <c r="AC173" s="7">
        <v>0.27400000000000002</v>
      </c>
      <c r="AD173" s="7">
        <v>66.8</v>
      </c>
      <c r="AE173" s="7">
        <v>2.9009999999999998</v>
      </c>
      <c r="AF173" s="7">
        <v>2.9009999999999998</v>
      </c>
      <c r="AG173" s="7">
        <v>2.5979999999999999</v>
      </c>
    </row>
    <row r="174" spans="1:33" ht="12.75" customHeight="1">
      <c r="A174" s="3"/>
      <c r="B174" s="12"/>
      <c r="C174" s="12"/>
      <c r="D174" s="4"/>
      <c r="E174" s="12"/>
      <c r="F174" s="4"/>
      <c r="G174" s="7"/>
      <c r="H174" s="4"/>
      <c r="I174" s="7"/>
      <c r="J174" s="7"/>
      <c r="K174" s="5"/>
      <c r="L174" s="10" t="s">
        <v>353</v>
      </c>
      <c r="M174" s="7" t="s">
        <v>51</v>
      </c>
      <c r="N174" s="7">
        <v>0.72499999999999998</v>
      </c>
      <c r="O174" s="7">
        <v>0.6</v>
      </c>
      <c r="P174" s="7">
        <v>22.88</v>
      </c>
      <c r="Q174" s="6" t="s">
        <v>52</v>
      </c>
      <c r="R174" s="7" t="s">
        <v>228</v>
      </c>
      <c r="S174" s="7" t="s">
        <v>409</v>
      </c>
      <c r="T174" s="83">
        <v>2.5750000000000002</v>
      </c>
      <c r="U174" s="24">
        <v>0.372</v>
      </c>
      <c r="V174" s="7">
        <v>56022</v>
      </c>
      <c r="W174" s="22">
        <v>93.5</v>
      </c>
      <c r="X174" s="7">
        <v>13.4</v>
      </c>
      <c r="Y174" s="7"/>
      <c r="Z174" s="7"/>
      <c r="AA174" s="7"/>
      <c r="AB174" s="7">
        <v>2.5920000000000001</v>
      </c>
      <c r="AC174" s="7">
        <v>0.22600000000000001</v>
      </c>
      <c r="AD174" s="7">
        <v>63.7</v>
      </c>
      <c r="AE174" s="7">
        <v>3.181</v>
      </c>
      <c r="AF174" s="7">
        <v>2.7869999999999999</v>
      </c>
      <c r="AG174" s="7">
        <v>2.677</v>
      </c>
    </row>
    <row r="175" spans="1:33" ht="12.75" customHeight="1">
      <c r="A175" s="3"/>
      <c r="B175" s="12"/>
      <c r="C175" s="12"/>
      <c r="D175" s="4"/>
      <c r="E175" s="12"/>
      <c r="F175" s="4"/>
      <c r="G175" s="7"/>
      <c r="H175" s="4"/>
      <c r="I175" s="7"/>
      <c r="J175" s="7"/>
      <c r="K175" s="5"/>
      <c r="L175" s="10" t="s">
        <v>208</v>
      </c>
      <c r="M175" s="7"/>
      <c r="N175" s="7"/>
      <c r="P175" s="7"/>
      <c r="Q175" s="6"/>
      <c r="R175" s="7" t="s">
        <v>209</v>
      </c>
      <c r="S175" s="7"/>
      <c r="T175" s="83"/>
      <c r="U175" s="25"/>
      <c r="V175" s="7"/>
      <c r="W175" s="22"/>
      <c r="X175" s="7"/>
      <c r="Y175" s="7"/>
      <c r="Z175" s="7"/>
      <c r="AA175" s="7"/>
      <c r="AB175" s="7"/>
      <c r="AC175" s="7"/>
      <c r="AD175" s="7"/>
      <c r="AE175" s="7"/>
      <c r="AF175" s="7"/>
      <c r="AG175" s="7"/>
    </row>
    <row r="176" spans="1:33" ht="12.75" customHeight="1">
      <c r="A176" s="3"/>
      <c r="B176" s="12"/>
      <c r="C176" s="12"/>
      <c r="D176" s="4"/>
      <c r="E176" s="12"/>
      <c r="F176" s="4"/>
      <c r="G176" s="7"/>
      <c r="H176" s="4"/>
      <c r="I176" s="7"/>
      <c r="J176" s="7"/>
      <c r="K176" s="5"/>
      <c r="L176" s="10" t="s">
        <v>211</v>
      </c>
      <c r="M176" s="7"/>
      <c r="N176" s="7"/>
      <c r="O176" s="7"/>
      <c r="P176" s="7"/>
      <c r="Q176" s="6"/>
      <c r="R176" s="7" t="s">
        <v>256</v>
      </c>
      <c r="S176" s="7" t="s">
        <v>410</v>
      </c>
      <c r="T176" s="83">
        <v>2.601</v>
      </c>
      <c r="U176" s="94">
        <v>0.40100000000000002</v>
      </c>
      <c r="V176">
        <v>27810</v>
      </c>
      <c r="W176">
        <v>93.4</v>
      </c>
      <c r="X176">
        <v>26.1</v>
      </c>
      <c r="AB176">
        <v>2.528</v>
      </c>
      <c r="AC176">
        <v>0.26800000000000002</v>
      </c>
      <c r="AD176">
        <v>65.8</v>
      </c>
      <c r="AE176">
        <v>2.9</v>
      </c>
      <c r="AF176">
        <v>2.9</v>
      </c>
      <c r="AG176">
        <v>2.5939999999999999</v>
      </c>
    </row>
    <row r="177" spans="1:33" ht="12.75" customHeight="1">
      <c r="A177" s="3"/>
      <c r="B177" s="12"/>
      <c r="C177" s="12"/>
      <c r="D177" s="4"/>
      <c r="E177" s="12"/>
      <c r="F177" s="4"/>
      <c r="G177" s="7"/>
      <c r="H177" s="4"/>
      <c r="I177" s="7"/>
      <c r="J177" s="7"/>
      <c r="K177" s="5"/>
      <c r="L177" s="10" t="s">
        <v>346</v>
      </c>
      <c r="M177" s="7" t="s">
        <v>51</v>
      </c>
      <c r="N177" s="7">
        <v>0.71599999999999997</v>
      </c>
      <c r="O177" s="7">
        <v>0.6</v>
      </c>
      <c r="P177" s="7">
        <v>22.92</v>
      </c>
      <c r="Q177" s="6" t="s">
        <v>52</v>
      </c>
      <c r="R177" s="7" t="s">
        <v>347</v>
      </c>
      <c r="S177" s="7" t="s">
        <v>410</v>
      </c>
      <c r="T177" s="83">
        <v>2.601</v>
      </c>
      <c r="U177" s="84">
        <v>0.40100000000000002</v>
      </c>
      <c r="V177" s="7">
        <v>27810</v>
      </c>
      <c r="W177" s="22">
        <v>93.4</v>
      </c>
      <c r="X177" s="7">
        <v>26.1</v>
      </c>
      <c r="Y177" s="7"/>
      <c r="Z177" s="7"/>
      <c r="AA177" s="7"/>
      <c r="AB177" s="7">
        <v>2.528</v>
      </c>
      <c r="AC177" s="7">
        <v>0.26800000000000002</v>
      </c>
      <c r="AD177" s="7">
        <v>65.8</v>
      </c>
      <c r="AE177" s="7">
        <v>2.9</v>
      </c>
      <c r="AF177" s="7">
        <v>2.9</v>
      </c>
      <c r="AG177" s="7">
        <v>2.5939999999999999</v>
      </c>
    </row>
    <row r="178" spans="1:33" ht="12.75" customHeight="1">
      <c r="A178" s="3" t="s">
        <v>33</v>
      </c>
      <c r="B178" s="12" t="s">
        <v>411</v>
      </c>
      <c r="C178" s="12" t="s">
        <v>411</v>
      </c>
      <c r="D178" s="4" t="s">
        <v>412</v>
      </c>
      <c r="E178" s="12" t="s">
        <v>411</v>
      </c>
      <c r="F178" s="4" t="s">
        <v>398</v>
      </c>
      <c r="G178" s="7"/>
      <c r="H178" s="4" t="s">
        <v>399</v>
      </c>
      <c r="I178" s="7"/>
      <c r="J178" s="7"/>
      <c r="K178" s="5" t="s">
        <v>204</v>
      </c>
      <c r="L178" s="7" t="s">
        <v>45</v>
      </c>
      <c r="M178" s="7"/>
      <c r="N178" s="7"/>
      <c r="O178" s="7"/>
      <c r="P178" s="7"/>
      <c r="Q178" s="6"/>
      <c r="R178" s="7"/>
      <c r="S178" s="7"/>
      <c r="T178" s="83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</row>
    <row r="179" spans="1:33" ht="12.75" customHeight="1">
      <c r="A179" s="3" t="s">
        <v>33</v>
      </c>
      <c r="B179" s="12" t="s">
        <v>413</v>
      </c>
      <c r="C179" s="12" t="s">
        <v>413</v>
      </c>
      <c r="D179" s="4" t="s">
        <v>412</v>
      </c>
      <c r="E179" s="12" t="s">
        <v>413</v>
      </c>
      <c r="F179" s="4" t="s">
        <v>398</v>
      </c>
      <c r="G179" s="7"/>
      <c r="H179" s="4" t="s">
        <v>414</v>
      </c>
      <c r="I179" s="7"/>
      <c r="J179" s="7"/>
      <c r="K179" s="5" t="s">
        <v>204</v>
      </c>
      <c r="L179" s="10" t="s">
        <v>415</v>
      </c>
      <c r="M179" s="7" t="s">
        <v>103</v>
      </c>
      <c r="N179" s="7">
        <v>0.70399999999999996</v>
      </c>
      <c r="O179" s="7">
        <v>0.43</v>
      </c>
      <c r="P179" s="7">
        <v>17.04</v>
      </c>
      <c r="Q179" s="21" t="s">
        <v>52</v>
      </c>
      <c r="R179" s="7" t="s">
        <v>341</v>
      </c>
      <c r="S179" s="7" t="s">
        <v>416</v>
      </c>
      <c r="T179" s="83">
        <v>2.496</v>
      </c>
      <c r="U179" s="24">
        <v>0.38600000000000001</v>
      </c>
      <c r="V179" s="7">
        <v>31551</v>
      </c>
      <c r="W179" s="7">
        <v>94.4</v>
      </c>
      <c r="X179" s="7">
        <v>26.6</v>
      </c>
      <c r="Y179" s="7"/>
      <c r="Z179" s="7"/>
      <c r="AA179" s="7"/>
      <c r="AB179" s="7">
        <v>2.5150000000000001</v>
      </c>
      <c r="AC179" s="7">
        <v>0.27200000000000002</v>
      </c>
      <c r="AD179" s="7">
        <v>76.7</v>
      </c>
      <c r="AE179" s="7">
        <v>2.694</v>
      </c>
      <c r="AF179" s="7">
        <v>2.694</v>
      </c>
      <c r="AG179" s="7">
        <v>2.589</v>
      </c>
    </row>
    <row r="180" spans="1:33" ht="12.75" customHeight="1">
      <c r="A180" s="3"/>
      <c r="B180" s="12"/>
      <c r="C180" s="12"/>
      <c r="D180" s="4"/>
      <c r="E180" s="12"/>
      <c r="F180" s="4"/>
      <c r="G180" s="7"/>
      <c r="H180" s="4"/>
      <c r="I180" s="7"/>
      <c r="J180" s="7"/>
      <c r="K180" s="5"/>
      <c r="L180" s="10" t="s">
        <v>353</v>
      </c>
      <c r="M180" s="7" t="s">
        <v>417</v>
      </c>
      <c r="N180">
        <v>0.70499999999999996</v>
      </c>
      <c r="O180" s="7">
        <v>0.45</v>
      </c>
      <c r="P180" s="7">
        <v>20.72</v>
      </c>
      <c r="Q180" s="6" t="s">
        <v>52</v>
      </c>
      <c r="R180" s="7" t="s">
        <v>228</v>
      </c>
      <c r="S180" s="7" t="s">
        <v>418</v>
      </c>
      <c r="T180" s="83">
        <v>2.6760000000000002</v>
      </c>
      <c r="U180" s="25">
        <v>0.27600000000000002</v>
      </c>
      <c r="V180" s="7">
        <v>50780</v>
      </c>
      <c r="W180" s="22">
        <v>95.3</v>
      </c>
      <c r="X180" s="7">
        <v>13.6</v>
      </c>
      <c r="Y180" s="7"/>
      <c r="Z180" s="7"/>
      <c r="AA180" s="7"/>
      <c r="AB180" s="7">
        <v>2.528</v>
      </c>
      <c r="AC180" s="7">
        <v>0.22500000000000001</v>
      </c>
      <c r="AD180" s="7">
        <v>69.599999999999994</v>
      </c>
      <c r="AE180" s="7">
        <v>2.7109999999999999</v>
      </c>
      <c r="AF180" s="7">
        <v>2.89</v>
      </c>
      <c r="AG180" s="7">
        <v>2.673</v>
      </c>
    </row>
    <row r="181" spans="1:33" ht="12.75" customHeight="1">
      <c r="A181" s="3"/>
      <c r="B181" s="12"/>
      <c r="C181" s="12"/>
      <c r="D181" s="4"/>
      <c r="E181" s="12"/>
      <c r="F181" s="4"/>
      <c r="G181" s="7"/>
      <c r="H181" s="4"/>
      <c r="I181" s="7"/>
      <c r="J181" s="7"/>
      <c r="K181" s="5"/>
      <c r="L181" s="10" t="s">
        <v>208</v>
      </c>
      <c r="M181" s="7"/>
      <c r="N181" s="7"/>
      <c r="O181" s="7"/>
      <c r="P181" s="7"/>
      <c r="Q181" s="6"/>
      <c r="R181" s="7" t="s">
        <v>209</v>
      </c>
      <c r="S181" s="7"/>
      <c r="T181" s="83"/>
      <c r="U181" s="25"/>
      <c r="V181" s="7"/>
      <c r="W181" s="22"/>
      <c r="X181" s="7"/>
      <c r="Y181" s="7"/>
      <c r="Z181" s="7"/>
      <c r="AA181" s="7"/>
      <c r="AB181" s="7"/>
      <c r="AC181" s="7"/>
      <c r="AD181" s="7"/>
      <c r="AE181" s="7"/>
      <c r="AF181" s="7"/>
      <c r="AG181" s="7"/>
    </row>
    <row r="182" spans="1:33" ht="12.75" customHeight="1">
      <c r="A182" s="3"/>
      <c r="B182" s="12"/>
      <c r="C182" s="12"/>
      <c r="D182" s="4"/>
      <c r="E182" s="12"/>
      <c r="F182" s="4"/>
      <c r="G182" s="7"/>
      <c r="H182" s="4"/>
      <c r="I182" s="7"/>
      <c r="J182" s="7"/>
      <c r="K182" s="5"/>
      <c r="L182" s="10"/>
      <c r="M182" s="7"/>
      <c r="N182" s="7"/>
      <c r="O182" s="7"/>
      <c r="P182" s="7"/>
      <c r="Q182" s="6"/>
      <c r="R182" s="7" t="s">
        <v>260</v>
      </c>
      <c r="S182" s="7"/>
      <c r="T182" s="83"/>
      <c r="U182" s="25"/>
      <c r="V182" s="7"/>
      <c r="W182" s="22"/>
      <c r="X182" s="7"/>
      <c r="Y182" s="7"/>
      <c r="Z182" s="7"/>
      <c r="AA182" s="7"/>
      <c r="AB182" s="7"/>
      <c r="AC182" s="7"/>
      <c r="AD182" s="7"/>
      <c r="AE182" s="7"/>
      <c r="AF182" s="7"/>
      <c r="AG182" s="7"/>
    </row>
    <row r="183" spans="1:33" ht="12.75" customHeight="1">
      <c r="A183" s="59"/>
      <c r="B183" s="12"/>
      <c r="C183" s="12"/>
      <c r="D183" s="4"/>
      <c r="E183" s="12"/>
      <c r="F183" s="4"/>
      <c r="G183" s="7"/>
      <c r="H183" s="4"/>
      <c r="I183" s="7"/>
      <c r="J183" s="7"/>
      <c r="K183" s="5"/>
      <c r="L183" s="10" t="s">
        <v>346</v>
      </c>
      <c r="M183" s="7" t="s">
        <v>103</v>
      </c>
      <c r="N183" s="7">
        <v>0.70499999999999996</v>
      </c>
      <c r="O183" s="7">
        <v>0.45</v>
      </c>
      <c r="P183" s="7">
        <v>17.260000000000002</v>
      </c>
      <c r="Q183" s="6" t="s">
        <v>52</v>
      </c>
      <c r="R183" s="7" t="s">
        <v>347</v>
      </c>
      <c r="S183" s="7" t="s">
        <v>419</v>
      </c>
      <c r="T183" s="83">
        <v>2.4849999999999999</v>
      </c>
      <c r="U183" s="84">
        <v>0.4</v>
      </c>
      <c r="V183" s="7">
        <v>31946</v>
      </c>
      <c r="W183" s="22">
        <v>94.4</v>
      </c>
      <c r="X183" s="7">
        <v>26.6</v>
      </c>
      <c r="Y183" s="7"/>
      <c r="Z183" s="7"/>
      <c r="AA183" s="7"/>
      <c r="AB183" s="7">
        <v>2.5150000000000001</v>
      </c>
      <c r="AC183" s="7">
        <v>0.27400000000000002</v>
      </c>
      <c r="AD183" s="7">
        <v>76.599999999999994</v>
      </c>
      <c r="AE183" s="7">
        <v>2.6960000000000002</v>
      </c>
      <c r="AF183" s="7">
        <v>2.6960000000000002</v>
      </c>
      <c r="AG183" s="7">
        <v>2.5920000000000001</v>
      </c>
    </row>
    <row r="184" spans="1:33" s="93" customFormat="1" ht="12.75" customHeight="1">
      <c r="A184" s="95"/>
      <c r="B184" s="87"/>
      <c r="C184" s="87"/>
      <c r="D184" s="89" t="s">
        <v>412</v>
      </c>
      <c r="E184" s="89" t="s">
        <v>420</v>
      </c>
      <c r="F184" s="88"/>
      <c r="G184" s="89"/>
      <c r="H184" s="88" t="s">
        <v>414</v>
      </c>
      <c r="I184" s="89"/>
      <c r="J184" s="89"/>
      <c r="K184" s="90"/>
      <c r="L184" s="89"/>
      <c r="M184" s="89" t="s">
        <v>103</v>
      </c>
      <c r="N184" s="89"/>
      <c r="O184" s="89"/>
      <c r="P184" s="89"/>
      <c r="Q184" s="91" t="s">
        <v>52</v>
      </c>
      <c r="R184" s="89" t="s">
        <v>347</v>
      </c>
      <c r="S184" s="89" t="s">
        <v>421</v>
      </c>
      <c r="T184" s="83">
        <v>1.9810000000000001</v>
      </c>
      <c r="U184" s="89">
        <v>0.22700000000000001</v>
      </c>
      <c r="V184" s="89">
        <v>63952</v>
      </c>
      <c r="W184" s="92">
        <v>95.7</v>
      </c>
      <c r="X184" s="89">
        <v>20.9</v>
      </c>
      <c r="Y184" s="89"/>
      <c r="Z184" s="89"/>
      <c r="AA184" s="89"/>
      <c r="AB184" s="89">
        <v>1.9510000000000001</v>
      </c>
      <c r="AC184" s="89">
        <v>0.189</v>
      </c>
      <c r="AD184" s="89">
        <v>79.8</v>
      </c>
      <c r="AE184" s="89">
        <v>2.1150000000000002</v>
      </c>
      <c r="AF184" s="89">
        <v>2.1150000000000002</v>
      </c>
      <c r="AG184" s="89">
        <v>1.9259999999999999</v>
      </c>
    </row>
    <row r="185" spans="1:33" s="82" customFormat="1" ht="12.75" customHeight="1">
      <c r="A185" s="96"/>
      <c r="B185" s="78"/>
      <c r="C185" s="78"/>
      <c r="D185" s="25"/>
      <c r="E185" s="25"/>
      <c r="F185" s="79"/>
      <c r="G185" s="25"/>
      <c r="H185" s="79"/>
      <c r="I185" s="25"/>
      <c r="J185" s="25"/>
      <c r="K185" s="80"/>
      <c r="L185" s="25" t="s">
        <v>353</v>
      </c>
      <c r="M185" s="25" t="s">
        <v>103</v>
      </c>
      <c r="N185" s="25">
        <v>0.84099999999999997</v>
      </c>
      <c r="O185" s="25">
        <v>0.25</v>
      </c>
      <c r="P185" s="25">
        <v>15.38</v>
      </c>
      <c r="Q185" s="81" t="s">
        <v>52</v>
      </c>
      <c r="R185" s="25" t="s">
        <v>228</v>
      </c>
      <c r="S185" s="25" t="s">
        <v>422</v>
      </c>
      <c r="T185" s="83">
        <v>2.09</v>
      </c>
      <c r="U185" s="25">
        <v>0.187</v>
      </c>
      <c r="V185" s="25">
        <v>108082</v>
      </c>
      <c r="W185" s="85">
        <v>96.4</v>
      </c>
      <c r="X185" s="25">
        <v>10.199999999999999</v>
      </c>
      <c r="Y185" s="25"/>
      <c r="Z185" s="25"/>
      <c r="AA185" s="25"/>
      <c r="AB185" s="25">
        <v>1.978</v>
      </c>
      <c r="AC185" s="25">
        <v>0.16700000000000001</v>
      </c>
      <c r="AD185" s="25">
        <v>75.5</v>
      </c>
      <c r="AE185" s="25">
        <v>2.2170000000000001</v>
      </c>
      <c r="AF185" s="25">
        <v>2.14</v>
      </c>
      <c r="AG185" s="25">
        <v>1.9870000000000001</v>
      </c>
    </row>
    <row r="186" spans="1:33" s="46" customFormat="1" ht="12.75" customHeight="1">
      <c r="A186" s="43"/>
      <c r="B186" s="43"/>
      <c r="C186" s="43"/>
      <c r="D186" s="43" t="s">
        <v>412</v>
      </c>
      <c r="E186" s="43" t="s">
        <v>423</v>
      </c>
      <c r="F186" s="43"/>
      <c r="G186" s="43"/>
      <c r="H186" s="43" t="s">
        <v>414</v>
      </c>
      <c r="I186" s="43"/>
      <c r="J186" s="43"/>
      <c r="K186" s="43"/>
      <c r="L186" s="43" t="s">
        <v>165</v>
      </c>
      <c r="M186" s="43" t="s">
        <v>103</v>
      </c>
      <c r="N186" s="43">
        <v>0.90600000000000003</v>
      </c>
      <c r="O186" s="46">
        <v>0.21</v>
      </c>
      <c r="P186" s="43">
        <v>16.25</v>
      </c>
      <c r="Q186" s="54" t="s">
        <v>52</v>
      </c>
      <c r="R186" s="43" t="s">
        <v>347</v>
      </c>
      <c r="S186" s="43" t="s">
        <v>424</v>
      </c>
      <c r="T186" s="83">
        <v>2.0089999999999999</v>
      </c>
      <c r="U186" s="43">
        <v>0.20200000000000001</v>
      </c>
      <c r="V186" s="43">
        <v>60884</v>
      </c>
      <c r="W186" s="43">
        <v>95.7</v>
      </c>
      <c r="X186" s="43">
        <v>24</v>
      </c>
      <c r="Y186" s="43"/>
      <c r="Z186" s="43"/>
      <c r="AA186" s="43"/>
      <c r="AB186" s="43">
        <v>1.9650000000000001</v>
      </c>
      <c r="AC186" s="43">
        <v>0.17100000000000001</v>
      </c>
      <c r="AD186" s="43">
        <v>78.099999999999994</v>
      </c>
      <c r="AE186" s="43">
        <v>2.161</v>
      </c>
      <c r="AF186" s="43">
        <v>2.161</v>
      </c>
      <c r="AG186" s="43">
        <v>1.9370000000000001</v>
      </c>
    </row>
    <row r="187" spans="1:33" s="82" customFormat="1" ht="12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 t="s">
        <v>425</v>
      </c>
      <c r="M187" s="25" t="s">
        <v>417</v>
      </c>
      <c r="N187" s="25">
        <v>0.91500000000000004</v>
      </c>
      <c r="O187" s="82">
        <v>0.19500000000000001</v>
      </c>
      <c r="P187" s="25">
        <v>23.68</v>
      </c>
      <c r="Q187" s="98" t="s">
        <v>426</v>
      </c>
      <c r="R187" s="25"/>
      <c r="S187" s="25"/>
      <c r="T187" s="83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</row>
    <row r="188" spans="1:33" ht="12.75" customHeight="1">
      <c r="A188" s="3"/>
      <c r="B188" s="12"/>
      <c r="C188" s="12"/>
      <c r="D188" s="4"/>
      <c r="E188" s="12"/>
      <c r="F188" s="4"/>
      <c r="G188" s="7"/>
      <c r="H188" s="4"/>
      <c r="I188" s="7"/>
      <c r="J188" s="7"/>
      <c r="K188" s="5"/>
      <c r="L188" s="10" t="s">
        <v>353</v>
      </c>
      <c r="M188" s="7" t="s">
        <v>417</v>
      </c>
      <c r="N188" s="7">
        <v>0.89700000000000002</v>
      </c>
      <c r="O188" s="7">
        <v>0.25</v>
      </c>
      <c r="P188" s="7">
        <v>16.13</v>
      </c>
      <c r="Q188" s="6" t="s">
        <v>52</v>
      </c>
      <c r="R188" s="7" t="s">
        <v>228</v>
      </c>
      <c r="S188" s="7" t="s">
        <v>427</v>
      </c>
      <c r="T188" s="83">
        <v>2.0960000000000001</v>
      </c>
      <c r="U188" s="25">
        <v>0.17100000000000001</v>
      </c>
      <c r="V188" s="7">
        <v>106368</v>
      </c>
      <c r="W188" s="22">
        <v>96.4</v>
      </c>
      <c r="X188" s="7">
        <v>12.2</v>
      </c>
      <c r="Y188" s="7"/>
      <c r="Z188" s="7"/>
      <c r="AA188" s="7"/>
      <c r="AB188" s="7">
        <v>2.008</v>
      </c>
      <c r="AC188" s="7">
        <v>0.153</v>
      </c>
      <c r="AD188" s="7">
        <v>75.2</v>
      </c>
      <c r="AE188" s="7">
        <v>2.21</v>
      </c>
      <c r="AF188" s="7">
        <v>2.2610000000000001</v>
      </c>
      <c r="AG188" s="7">
        <v>1.99</v>
      </c>
    </row>
    <row r="189" spans="1:33" ht="12.75" customHeight="1">
      <c r="A189" s="3"/>
      <c r="B189" s="12"/>
      <c r="C189" s="12"/>
      <c r="D189" s="4"/>
      <c r="E189" s="12"/>
      <c r="F189" s="4"/>
      <c r="G189" s="7"/>
      <c r="H189" s="4"/>
      <c r="I189" s="7"/>
      <c r="J189" s="7"/>
      <c r="K189" s="5"/>
      <c r="L189" s="10" t="s">
        <v>208</v>
      </c>
      <c r="M189" s="7"/>
      <c r="N189" s="7"/>
      <c r="O189" s="7"/>
      <c r="P189" s="7"/>
      <c r="Q189" s="6"/>
      <c r="R189" s="7" t="s">
        <v>209</v>
      </c>
      <c r="S189" s="7"/>
      <c r="T189" s="83"/>
      <c r="U189" s="25"/>
      <c r="V189" s="7"/>
      <c r="W189" s="22"/>
      <c r="X189" s="7"/>
      <c r="Y189" s="7"/>
      <c r="Z189" s="7"/>
      <c r="AA189" s="7"/>
      <c r="AB189" s="7"/>
      <c r="AC189" s="7"/>
      <c r="AD189" s="7"/>
      <c r="AE189" s="7"/>
      <c r="AF189" s="7"/>
      <c r="AG189" s="7"/>
    </row>
    <row r="190" spans="1:33" ht="12.75" customHeight="1">
      <c r="A190" s="3"/>
      <c r="B190" s="12"/>
      <c r="C190" s="12"/>
      <c r="D190" s="4"/>
      <c r="E190" s="12"/>
      <c r="F190" s="4"/>
      <c r="G190" s="7"/>
      <c r="H190" s="4"/>
      <c r="I190" s="7"/>
      <c r="J190" s="7"/>
      <c r="K190" s="5"/>
      <c r="L190" s="10" t="s">
        <v>345</v>
      </c>
      <c r="M190" s="7"/>
      <c r="N190" s="7"/>
      <c r="O190" s="7"/>
      <c r="P190" s="7"/>
      <c r="Q190" s="6"/>
      <c r="R190" s="7" t="s">
        <v>260</v>
      </c>
      <c r="S190" s="7"/>
      <c r="T190" s="83"/>
      <c r="U190" s="25"/>
      <c r="V190" s="7"/>
      <c r="W190" s="22"/>
      <c r="X190" s="7"/>
      <c r="Y190" s="7"/>
      <c r="Z190" s="7"/>
      <c r="AA190" s="7"/>
      <c r="AB190" s="7"/>
      <c r="AC190" s="7"/>
      <c r="AD190" s="7"/>
      <c r="AE190" s="7"/>
      <c r="AF190" s="7"/>
      <c r="AG190" s="7"/>
    </row>
    <row r="191" spans="1:33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83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</row>
    <row r="192" spans="1:33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83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</row>
    <row r="193" spans="1:3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83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</row>
    <row r="194" spans="1:33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97"/>
      <c r="M194" s="7"/>
      <c r="N194" s="7"/>
      <c r="O194" s="7"/>
      <c r="P194" s="7"/>
      <c r="Q194" s="7"/>
      <c r="R194" s="7"/>
      <c r="S194" s="7"/>
      <c r="T194" s="83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</row>
    <row r="195" spans="1:33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83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</row>
    <row r="196" spans="1:33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83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</row>
    <row r="197" spans="1:33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83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</row>
    <row r="198" spans="1:33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83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</row>
    <row r="199" spans="1:33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83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</row>
    <row r="200" spans="1:33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83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</row>
    <row r="201" spans="1:33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83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</row>
    <row r="202" spans="1:33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83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</row>
    <row r="203" spans="1:3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83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 spans="1:33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83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</row>
    <row r="205" spans="1:33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83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</row>
    <row r="206" spans="1:33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83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  <row r="207" spans="1:33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83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</row>
    <row r="208" spans="1:33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83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</row>
    <row r="209" spans="1:33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83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</row>
    <row r="210" spans="1:33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83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</row>
    <row r="211" spans="1:33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83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</row>
    <row r="212" spans="1:33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83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</row>
    <row r="213" spans="1:3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83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 spans="1:33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8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</row>
    <row r="215" spans="1:33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83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</row>
    <row r="216" spans="1:33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83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 spans="1:33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83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</row>
    <row r="218" spans="1:33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83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</row>
    <row r="219" spans="1:33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83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</row>
    <row r="220" spans="1:33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83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</row>
    <row r="221" spans="1:33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83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</row>
    <row r="222" spans="1:33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83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</row>
    <row r="223" spans="1:3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83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</row>
    <row r="224" spans="1:33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83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 spans="1:33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83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 spans="1:33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83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</row>
    <row r="227" spans="1:33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83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</row>
    <row r="228" spans="1:33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83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</row>
    <row r="229" spans="1:33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83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</row>
    <row r="230" spans="1:33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83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</row>
    <row r="231" spans="1:33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83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</row>
    <row r="232" spans="1:33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83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</row>
    <row r="233" spans="1: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83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</row>
    <row r="234" spans="1:33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83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</row>
    <row r="235" spans="1:33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83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</row>
    <row r="236" spans="1:33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83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</row>
    <row r="237" spans="1:33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83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</row>
    <row r="238" spans="1:33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83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</row>
    <row r="239" spans="1:33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83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</row>
    <row r="240" spans="1:33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83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 spans="1:33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83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 spans="1:33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83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 spans="1:3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83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</row>
    <row r="244" spans="1:33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83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 spans="1:33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83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 spans="1:33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83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 spans="1:33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83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 spans="1:33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83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 spans="1:33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83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 spans="1:33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83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 spans="1:33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83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 spans="1:33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83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 spans="1:3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83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 spans="1:33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83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 spans="1:33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83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 spans="1:33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83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 spans="1:33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83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 spans="1:33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83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 spans="1:33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83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 spans="1:33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83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 spans="1:33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83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 spans="1:33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83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 spans="1:3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83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 spans="1:33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83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 spans="1:33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83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 spans="1:33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83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 spans="1:33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83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 spans="1:33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83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 spans="1:33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83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 spans="1:33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83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 spans="1:33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83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</row>
    <row r="272" spans="1:33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83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 spans="1:3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83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 spans="1:33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83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</row>
    <row r="275" spans="1:33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83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 spans="1:33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83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</row>
    <row r="277" spans="1:33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83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</row>
    <row r="278" spans="1:33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83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 spans="1:33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83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 spans="1:33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83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</row>
    <row r="281" spans="1:33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83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 spans="1:33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83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</row>
    <row r="283" spans="1:3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83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</row>
    <row r="284" spans="1:33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83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</row>
    <row r="285" spans="1:33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83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 spans="1:33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83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</row>
    <row r="287" spans="1:33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83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 spans="1:33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83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</row>
    <row r="289" spans="1:33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83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 spans="1:33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83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</row>
    <row r="291" spans="1:33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83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</row>
    <row r="292" spans="1:33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83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</row>
    <row r="293" spans="1:3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83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</row>
    <row r="294" spans="1:33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83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 spans="1:33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83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 spans="1:33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83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 spans="1:33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83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 spans="1:33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83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 spans="1:33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83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 spans="1:33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83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 spans="1:33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83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 spans="1:33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83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</row>
    <row r="303" spans="1:3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83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</row>
    <row r="304" spans="1:33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83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 spans="1:33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83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</row>
    <row r="306" spans="1:33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83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 spans="1:33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83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 spans="1:33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83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</row>
    <row r="309" spans="1:33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83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</row>
    <row r="310" spans="1:33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83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</row>
    <row r="311" spans="1:33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83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 spans="1:33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83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</row>
    <row r="313" spans="1:3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8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 spans="1:33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8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</row>
    <row r="315" spans="1:33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8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 spans="1:33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8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</row>
    <row r="317" spans="1:33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8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</row>
    <row r="318" spans="1:33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8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 spans="1:33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8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 spans="1:33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8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</row>
    <row r="321" spans="1:33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8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 spans="1:33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8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 spans="1:3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8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</row>
    <row r="324" spans="1:33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8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 spans="1:33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8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 spans="1:33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83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</row>
    <row r="327" spans="1:33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83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</row>
    <row r="328" spans="1:33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83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</row>
    <row r="329" spans="1:33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83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</row>
    <row r="330" spans="1:33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83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 spans="1:33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83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 spans="1:33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83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 spans="1: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83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 spans="1:33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83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</row>
    <row r="335" spans="1:33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83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 spans="1:33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83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 spans="1:33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83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 spans="1:33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83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 spans="1:33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83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 spans="1:33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83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 spans="1:33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83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</row>
    <row r="342" spans="1:33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83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</row>
    <row r="343" spans="1:3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83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 spans="1:33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83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 spans="1:33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83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 spans="1:33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83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 spans="1:33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83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 spans="1:33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83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</row>
    <row r="349" spans="1:33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83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 spans="1:33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83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 spans="1:33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83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</row>
    <row r="352" spans="1:33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83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 spans="1:3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83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 spans="1:33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83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 spans="1:33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83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 spans="1:33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83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 spans="1:33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83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 spans="1:33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83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 spans="1:33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83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 spans="1:33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83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 spans="1:33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83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 spans="1:33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83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 spans="1:3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83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 spans="1:33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83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 spans="1:33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83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 spans="1:33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83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 spans="1:33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83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</row>
    <row r="368" spans="1:33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83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 spans="1:33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83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</row>
    <row r="370" spans="1:33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83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 spans="1:33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83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</row>
    <row r="372" spans="1:33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83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</row>
    <row r="373" spans="1:3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83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 spans="1:33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83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 spans="1:33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83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</row>
    <row r="376" spans="1:33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83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</row>
    <row r="377" spans="1:33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83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</row>
    <row r="378" spans="1:33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83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</row>
    <row r="379" spans="1:33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83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</row>
    <row r="380" spans="1:33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83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</row>
    <row r="381" spans="1:33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83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 spans="1:33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83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</row>
    <row r="383" spans="1:3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83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</row>
    <row r="384" spans="1:33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83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 spans="1:33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83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</row>
    <row r="386" spans="1:33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83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</row>
    <row r="387" spans="1:33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83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 spans="1:33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83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 spans="1:33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83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 spans="1:33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83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 spans="1:33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83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 spans="1:33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83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 spans="1:3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83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 spans="1:33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83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 spans="1:33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83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 spans="1:33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83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 spans="1:33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83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 spans="1:33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83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 spans="1:33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83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</row>
    <row r="400" spans="1:33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83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</row>
    <row r="401" spans="1:33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83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 spans="1:33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83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 spans="1:3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83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 spans="1:33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83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</row>
    <row r="405" spans="1:33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83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 spans="1:33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83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</row>
    <row r="407" spans="1:33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83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</row>
    <row r="408" spans="1:33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83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</row>
    <row r="409" spans="1:33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83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</row>
    <row r="410" spans="1:33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83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 spans="1:33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83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 spans="1:33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83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 spans="1:3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83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 spans="1:33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83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</row>
    <row r="415" spans="1:33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83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 spans="1:33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83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</row>
    <row r="417" spans="1:33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83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 spans="1:33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83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 spans="1:33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83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 spans="1:33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83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</row>
    <row r="421" spans="1:33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83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</row>
    <row r="422" spans="1:33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83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</row>
    <row r="423" spans="1:3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83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 spans="1:33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83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 spans="1:33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83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 spans="1:33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83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</row>
    <row r="427" spans="1:33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83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</row>
    <row r="428" spans="1:33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83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</row>
    <row r="429" spans="1:33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83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</row>
    <row r="430" spans="1:33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83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 spans="1:33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83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</row>
    <row r="432" spans="1:33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83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</row>
    <row r="433" spans="1: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83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 spans="1:33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83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</row>
    <row r="435" spans="1:33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83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 spans="1:33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83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 spans="1:33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83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 spans="1:33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83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</row>
    <row r="439" spans="1:33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83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 spans="1:33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83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</row>
    <row r="441" spans="1:33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83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</row>
    <row r="442" spans="1:33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83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</row>
    <row r="443" spans="1:3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83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</row>
    <row r="444" spans="1:33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83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</row>
    <row r="445" spans="1:33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83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</row>
    <row r="446" spans="1:33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83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</row>
    <row r="447" spans="1:33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83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</row>
    <row r="448" spans="1:33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83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</row>
    <row r="449" spans="1:33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83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</row>
    <row r="450" spans="1:33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83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 spans="1:33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83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 spans="1:33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83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 spans="1:3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83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</row>
    <row r="454" spans="1:33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83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</row>
    <row r="455" spans="1:33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83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</row>
    <row r="456" spans="1:33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83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</row>
    <row r="457" spans="1:33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83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</row>
    <row r="458" spans="1:33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83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</row>
    <row r="459" spans="1:33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83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</row>
    <row r="460" spans="1:33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83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</row>
    <row r="461" spans="1:33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83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</row>
    <row r="462" spans="1:33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83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</row>
    <row r="463" spans="1:3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83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</row>
    <row r="464" spans="1:33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83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</row>
    <row r="465" spans="1:33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83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</row>
    <row r="466" spans="1:33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83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</row>
    <row r="467" spans="1:33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83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 spans="1:33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83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</row>
    <row r="469" spans="1:33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83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</row>
    <row r="470" spans="1:33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83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</row>
    <row r="471" spans="1:33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83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</row>
    <row r="472" spans="1:33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83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</row>
    <row r="473" spans="1:3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83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</row>
    <row r="474" spans="1:33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83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</row>
    <row r="475" spans="1:33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83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</row>
    <row r="476" spans="1:33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83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</row>
    <row r="477" spans="1:33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83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</row>
    <row r="478" spans="1:33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83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</row>
    <row r="479" spans="1:33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83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</row>
    <row r="480" spans="1:33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83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</row>
    <row r="481" spans="1:33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83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</row>
    <row r="482" spans="1:33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83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</row>
    <row r="483" spans="1:3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83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 spans="1:33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83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</row>
    <row r="485" spans="1:33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83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 spans="1:33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83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</row>
    <row r="487" spans="1:33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83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 spans="1:33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83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 spans="1:33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83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 spans="1:33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83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 spans="1:33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83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 spans="1:33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83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 spans="1:3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83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</row>
    <row r="494" spans="1:33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83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 spans="1:33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83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 spans="1:33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83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 spans="1:33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83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 spans="1:33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83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</row>
    <row r="499" spans="1:33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83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 spans="1:33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83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</row>
    <row r="501" spans="1:33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83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</row>
    <row r="502" spans="1:33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83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</row>
    <row r="503" spans="1:3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83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 spans="1:33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83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</row>
    <row r="505" spans="1:33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83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</row>
    <row r="506" spans="1:33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83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</row>
    <row r="507" spans="1:33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83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</row>
    <row r="508" spans="1:33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83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 spans="1:33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83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</row>
    <row r="510" spans="1:33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83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 spans="1:33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83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 spans="1:33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83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 spans="1:3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83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</row>
    <row r="514" spans="1:33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83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 spans="1:33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83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 spans="1:33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83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 spans="1:33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83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</row>
    <row r="518" spans="1:33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83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 spans="1:33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83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</row>
    <row r="520" spans="1:33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83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 spans="1:33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83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</row>
    <row r="522" spans="1:33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83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 spans="1:3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83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</row>
    <row r="524" spans="1:33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83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</row>
    <row r="525" spans="1:33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83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</row>
    <row r="526" spans="1:33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83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 spans="1:33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83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 spans="1:33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83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 spans="1:33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83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 spans="1:33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83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</row>
    <row r="531" spans="1:33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83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 spans="1:33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83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 spans="1: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83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</row>
    <row r="534" spans="1:33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83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</row>
    <row r="535" spans="1:33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83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</row>
    <row r="536" spans="1:33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83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 spans="1:33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83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 spans="1:33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83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 spans="1:33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83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 spans="1:33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83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 spans="1:33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83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</row>
    <row r="542" spans="1:33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83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</row>
    <row r="543" spans="1:3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83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</row>
    <row r="544" spans="1:33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83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</row>
    <row r="545" spans="1:33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83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</row>
    <row r="546" spans="1:33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83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</row>
    <row r="547" spans="1:33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83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</row>
    <row r="548" spans="1:33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83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</row>
    <row r="549" spans="1:33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83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</row>
    <row r="550" spans="1:33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83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 spans="1:33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83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</row>
    <row r="552" spans="1:33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83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</row>
    <row r="553" spans="1:3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83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</row>
    <row r="554" spans="1:33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83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</row>
    <row r="555" spans="1:33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83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</row>
    <row r="556" spans="1:33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83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</row>
    <row r="557" spans="1:33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83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</row>
    <row r="558" spans="1:33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83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</row>
    <row r="559" spans="1:33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83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</row>
    <row r="560" spans="1:33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83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</row>
    <row r="561" spans="1:33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83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</row>
    <row r="562" spans="1:33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83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</row>
    <row r="563" spans="1:3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83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</row>
    <row r="564" spans="1:33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83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</row>
    <row r="565" spans="1:33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83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</row>
    <row r="566" spans="1:33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83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 spans="1:33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83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</row>
    <row r="568" spans="1:33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83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</row>
    <row r="569" spans="1:33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83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</row>
    <row r="570" spans="1:33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83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</row>
    <row r="571" spans="1:33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83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</row>
    <row r="572" spans="1:33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83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</row>
    <row r="573" spans="1:3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83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</row>
    <row r="574" spans="1:33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83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</row>
    <row r="575" spans="1:33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83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</row>
    <row r="576" spans="1:33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83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</row>
    <row r="577" spans="1:33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83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 spans="1:33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83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</row>
    <row r="579" spans="1:33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83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</row>
    <row r="580" spans="1:33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83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</row>
    <row r="581" spans="1:33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83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</row>
    <row r="582" spans="1:33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83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</row>
    <row r="583" spans="1:3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83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</row>
    <row r="584" spans="1:33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83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</row>
    <row r="585" spans="1:33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83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</row>
    <row r="586" spans="1:33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83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</row>
    <row r="587" spans="1:33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83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</row>
    <row r="588" spans="1:33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83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</row>
    <row r="589" spans="1:33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83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</row>
    <row r="590" spans="1:33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83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</row>
    <row r="591" spans="1:33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83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</row>
    <row r="592" spans="1:33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83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</row>
    <row r="593" spans="1:3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83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</row>
    <row r="594" spans="1:33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83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</row>
    <row r="595" spans="1:33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83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</row>
    <row r="596" spans="1:33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83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</row>
    <row r="597" spans="1:33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83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</row>
    <row r="598" spans="1:33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83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</row>
    <row r="599" spans="1:33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83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</row>
    <row r="600" spans="1:33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83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</row>
    <row r="601" spans="1:33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83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</row>
    <row r="602" spans="1:33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83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</row>
    <row r="603" spans="1:3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83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</row>
    <row r="604" spans="1:33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83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</row>
    <row r="605" spans="1:33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83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</row>
    <row r="606" spans="1:33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83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</row>
    <row r="607" spans="1:33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83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</row>
    <row r="608" spans="1:33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83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</row>
    <row r="609" spans="1:33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83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</row>
    <row r="610" spans="1:33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83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</row>
    <row r="611" spans="1:33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83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</row>
    <row r="612" spans="1:33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83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</row>
    <row r="613" spans="1:3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83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</row>
    <row r="614" spans="1:33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83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</row>
    <row r="615" spans="1:33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83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</row>
    <row r="616" spans="1:33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83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</row>
    <row r="617" spans="1:33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83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</row>
    <row r="618" spans="1:33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83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</row>
    <row r="619" spans="1:33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83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</row>
    <row r="620" spans="1:33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83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</row>
    <row r="621" spans="1:33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83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</row>
    <row r="622" spans="1:33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83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</row>
    <row r="623" spans="1:3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83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</row>
    <row r="624" spans="1:33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83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</row>
    <row r="625" spans="1:33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83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</row>
    <row r="626" spans="1:33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83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</row>
    <row r="627" spans="1:33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83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</row>
    <row r="628" spans="1:33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83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</row>
    <row r="629" spans="1:33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83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 spans="1:33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83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</row>
    <row r="631" spans="1:33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83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</row>
    <row r="632" spans="1:33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83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</row>
    <row r="633" spans="1: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83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</row>
    <row r="634" spans="1:33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83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</row>
    <row r="635" spans="1:33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83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</row>
    <row r="636" spans="1:33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83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</row>
    <row r="637" spans="1:33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83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</row>
    <row r="638" spans="1:33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83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</row>
    <row r="639" spans="1:33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83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</row>
    <row r="640" spans="1:33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83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</row>
    <row r="641" spans="1:33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83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</row>
    <row r="642" spans="1:33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83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 spans="1:3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83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</row>
    <row r="644" spans="1:33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83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</row>
    <row r="645" spans="1:33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83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</row>
    <row r="646" spans="1:33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83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</row>
    <row r="647" spans="1:33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83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</row>
    <row r="648" spans="1:33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83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</row>
    <row r="649" spans="1:33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83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</row>
    <row r="650" spans="1:33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83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</row>
    <row r="651" spans="1:33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83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</row>
    <row r="652" spans="1:33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83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</row>
    <row r="653" spans="1:3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83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</row>
    <row r="654" spans="1:33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83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</row>
    <row r="655" spans="1:33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83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</row>
    <row r="656" spans="1:33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83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</row>
    <row r="657" spans="1:33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83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</row>
    <row r="658" spans="1:33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83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</row>
    <row r="659" spans="1:33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83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</row>
    <row r="660" spans="1:33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83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</row>
    <row r="661" spans="1:33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83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</row>
    <row r="662" spans="1:33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83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</row>
    <row r="663" spans="1:3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83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</row>
    <row r="664" spans="1:33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83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</row>
    <row r="665" spans="1:33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83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</row>
    <row r="666" spans="1:33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83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</row>
    <row r="667" spans="1:33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83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</row>
    <row r="668" spans="1:33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83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</row>
    <row r="669" spans="1:33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83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</row>
    <row r="670" spans="1:33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83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</row>
    <row r="671" spans="1:33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83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</row>
    <row r="672" spans="1:33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83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</row>
    <row r="673" spans="1:3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83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</row>
    <row r="674" spans="1:33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83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</row>
    <row r="675" spans="1:33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83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</row>
    <row r="676" spans="1:33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83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</row>
    <row r="677" spans="1:33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83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</row>
    <row r="678" spans="1:33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83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</row>
    <row r="679" spans="1:33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83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</row>
    <row r="680" spans="1:33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83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</row>
    <row r="681" spans="1:33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83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</row>
    <row r="682" spans="1:33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83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</row>
    <row r="683" spans="1:3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83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</row>
    <row r="684" spans="1:33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83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</row>
    <row r="685" spans="1:33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83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</row>
    <row r="686" spans="1:33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83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</row>
    <row r="687" spans="1:33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83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</row>
    <row r="688" spans="1:33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83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</row>
    <row r="689" spans="1:33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83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</row>
    <row r="690" spans="1:33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83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</row>
    <row r="691" spans="1:33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83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</row>
    <row r="692" spans="1:33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83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 spans="1:3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83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</row>
    <row r="694" spans="1:33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83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</row>
    <row r="695" spans="1:33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83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 spans="1:33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83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</row>
    <row r="697" spans="1:33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83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</row>
    <row r="698" spans="1:33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83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</row>
    <row r="699" spans="1:33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83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</row>
    <row r="700" spans="1:33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83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</row>
    <row r="701" spans="1:33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83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</row>
    <row r="702" spans="1:33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83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</row>
    <row r="703" spans="1:3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83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</row>
    <row r="704" spans="1:33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83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</row>
    <row r="705" spans="1:33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83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</row>
    <row r="706" spans="1:33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83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</row>
    <row r="707" spans="1:33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83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</row>
    <row r="708" spans="1:33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83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</row>
    <row r="709" spans="1:33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83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</row>
    <row r="710" spans="1:33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83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</row>
    <row r="711" spans="1:33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83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</row>
    <row r="712" spans="1:33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83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</row>
    <row r="713" spans="1:3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83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</row>
    <row r="714" spans="1:33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83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</row>
    <row r="715" spans="1:33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83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</row>
    <row r="716" spans="1:33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83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</row>
    <row r="717" spans="1:33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83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</row>
    <row r="718" spans="1:33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83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</row>
    <row r="719" spans="1:33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83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</row>
    <row r="720" spans="1:33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83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</row>
    <row r="721" spans="1:33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83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</row>
    <row r="722" spans="1:33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83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</row>
    <row r="723" spans="1:3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83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</row>
    <row r="724" spans="1:33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83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</row>
    <row r="725" spans="1:33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83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</row>
    <row r="726" spans="1:33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83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</row>
    <row r="727" spans="1:33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83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</row>
    <row r="728" spans="1:33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83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</row>
    <row r="729" spans="1:33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83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</row>
    <row r="730" spans="1:33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83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</row>
    <row r="731" spans="1:33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83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</row>
    <row r="732" spans="1:33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83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</row>
    <row r="733" spans="1: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83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</row>
    <row r="734" spans="1:33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83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</row>
    <row r="735" spans="1:33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83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</row>
    <row r="736" spans="1:33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83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</row>
    <row r="737" spans="1:33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83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</row>
    <row r="738" spans="1:33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83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</row>
    <row r="739" spans="1:33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83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</row>
    <row r="740" spans="1:33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83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</row>
    <row r="741" spans="1:33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83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</row>
    <row r="742" spans="1:33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83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</row>
    <row r="743" spans="1:3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83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</row>
    <row r="744" spans="1:33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83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</row>
    <row r="745" spans="1:33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83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</row>
    <row r="746" spans="1:33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83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</row>
    <row r="747" spans="1:33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83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</row>
    <row r="748" spans="1:33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83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</row>
    <row r="749" spans="1:33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83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</row>
    <row r="750" spans="1:33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83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</row>
    <row r="751" spans="1:33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83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</row>
    <row r="752" spans="1:33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83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</row>
    <row r="753" spans="1:3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83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</row>
    <row r="754" spans="1:33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83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</row>
    <row r="755" spans="1:33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83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</row>
    <row r="756" spans="1:33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83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</row>
    <row r="757" spans="1:33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83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</row>
    <row r="758" spans="1:33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83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</row>
    <row r="759" spans="1:33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83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</row>
    <row r="760" spans="1:33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83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</row>
    <row r="761" spans="1:33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83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 spans="1:33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83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</row>
    <row r="763" spans="1:3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83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</row>
    <row r="764" spans="1:33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83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</row>
    <row r="765" spans="1:33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83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</row>
    <row r="766" spans="1:33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83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</row>
    <row r="767" spans="1:33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83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</row>
    <row r="768" spans="1:33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83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</row>
    <row r="769" spans="1:33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83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</row>
    <row r="770" spans="1:33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83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</row>
    <row r="771" spans="1:33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83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</row>
    <row r="772" spans="1:33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83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</row>
    <row r="773" spans="1:3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83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 spans="1:33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83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</row>
    <row r="775" spans="1:33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83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 spans="1:33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83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</row>
    <row r="777" spans="1:33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83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</row>
    <row r="778" spans="1:33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83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</row>
    <row r="779" spans="1:33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83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</row>
    <row r="780" spans="1:33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83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</row>
    <row r="781" spans="1:33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83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</row>
    <row r="782" spans="1:33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83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</row>
    <row r="783" spans="1:3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83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</row>
    <row r="784" spans="1:33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83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</row>
    <row r="785" spans="1:33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83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</row>
    <row r="786" spans="1:33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83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</row>
    <row r="787" spans="1:33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83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</row>
    <row r="788" spans="1:33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83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</row>
    <row r="789" spans="1:33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83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</row>
    <row r="790" spans="1:33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83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</row>
    <row r="791" spans="1:33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83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</row>
    <row r="792" spans="1:33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83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</row>
    <row r="793" spans="1:3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83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</row>
    <row r="794" spans="1:33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83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</row>
    <row r="795" spans="1:33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83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</row>
    <row r="796" spans="1:33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83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</row>
    <row r="797" spans="1:33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83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</row>
    <row r="798" spans="1:33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83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</row>
    <row r="799" spans="1:33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83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</row>
    <row r="800" spans="1:33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83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</row>
    <row r="801" spans="1:33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83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</row>
    <row r="802" spans="1:33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83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</row>
    <row r="803" spans="1:3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83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</row>
    <row r="804" spans="1:33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83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</row>
    <row r="805" spans="1:33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83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</row>
    <row r="806" spans="1:33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83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</row>
    <row r="807" spans="1:33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83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</row>
    <row r="808" spans="1:33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83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</row>
    <row r="809" spans="1:33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83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</row>
    <row r="810" spans="1:33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83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</row>
    <row r="811" spans="1:33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83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</row>
    <row r="812" spans="1:33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83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</row>
    <row r="813" spans="1:3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83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</row>
    <row r="814" spans="1:33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83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</row>
    <row r="815" spans="1:33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83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</row>
    <row r="816" spans="1:33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83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</row>
    <row r="817" spans="1:33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83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</row>
    <row r="818" spans="1:33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83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</row>
    <row r="819" spans="1:33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83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</row>
    <row r="820" spans="1:33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83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</row>
    <row r="821" spans="1:33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83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</row>
    <row r="822" spans="1:33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83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</row>
    <row r="823" spans="1:3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83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</row>
    <row r="824" spans="1:33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83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</row>
    <row r="825" spans="1:33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83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</row>
    <row r="826" spans="1:33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83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</row>
    <row r="827" spans="1:33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83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</row>
    <row r="828" spans="1:33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83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</row>
    <row r="829" spans="1:33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83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</row>
    <row r="830" spans="1:33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83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</row>
    <row r="831" spans="1:33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83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</row>
    <row r="832" spans="1:33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83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</row>
    <row r="833" spans="1: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83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</row>
    <row r="834" spans="1:33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83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</row>
    <row r="835" spans="1:33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83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</row>
    <row r="836" spans="1:33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83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</row>
    <row r="837" spans="1:33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83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</row>
    <row r="838" spans="1:33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83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</row>
    <row r="839" spans="1:33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83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</row>
    <row r="840" spans="1:33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83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</row>
    <row r="841" spans="1:33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83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</row>
    <row r="842" spans="1:33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83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</row>
    <row r="843" spans="1:3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83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</row>
    <row r="844" spans="1:33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83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</row>
    <row r="845" spans="1:33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83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</row>
    <row r="846" spans="1:33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83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</row>
    <row r="847" spans="1:33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83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</row>
    <row r="848" spans="1:33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83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</row>
    <row r="849" spans="1:33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83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</row>
    <row r="850" spans="1:33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83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</row>
    <row r="851" spans="1:33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83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</row>
    <row r="852" spans="1:33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83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</row>
    <row r="853" spans="1:3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83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</row>
    <row r="854" spans="1:33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83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</row>
    <row r="855" spans="1:33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83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</row>
    <row r="856" spans="1:33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83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</row>
    <row r="857" spans="1:33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83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</row>
    <row r="858" spans="1:33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83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</row>
    <row r="859" spans="1:33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83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</row>
    <row r="860" spans="1:33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83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</row>
    <row r="861" spans="1:33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83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</row>
    <row r="862" spans="1:33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83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</row>
    <row r="863" spans="1:3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83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</row>
    <row r="864" spans="1:33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83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</row>
    <row r="865" spans="1:33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83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</row>
    <row r="866" spans="1:33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83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</row>
    <row r="867" spans="1:33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83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</row>
    <row r="868" spans="1:33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83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</row>
    <row r="869" spans="1:33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83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</row>
    <row r="870" spans="1:33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83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</row>
    <row r="871" spans="1:33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83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</row>
    <row r="872" spans="1:33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83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</row>
    <row r="873" spans="1:3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83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</row>
    <row r="874" spans="1:33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83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</row>
    <row r="875" spans="1:33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83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</row>
    <row r="876" spans="1:33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83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</row>
    <row r="877" spans="1:33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83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</row>
    <row r="878" spans="1:33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83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</row>
    <row r="879" spans="1:33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83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</row>
    <row r="880" spans="1:33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83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</row>
    <row r="881" spans="1:33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83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</row>
    <row r="882" spans="1:33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83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</row>
    <row r="883" spans="1:3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83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</row>
    <row r="884" spans="1:33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83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</row>
    <row r="885" spans="1:33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83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</row>
    <row r="886" spans="1:33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83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</row>
    <row r="887" spans="1:33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83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</row>
    <row r="888" spans="1:33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83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</row>
    <row r="889" spans="1:33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83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</row>
    <row r="890" spans="1:33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83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</row>
    <row r="891" spans="1:33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83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</row>
    <row r="892" spans="1:33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83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</row>
    <row r="893" spans="1:3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83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</row>
    <row r="894" spans="1:33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83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</row>
    <row r="895" spans="1:33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83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</row>
    <row r="896" spans="1:33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83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</row>
    <row r="897" spans="1:33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83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</row>
    <row r="898" spans="1:33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83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</row>
    <row r="899" spans="1:33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83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</row>
    <row r="900" spans="1:33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83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</row>
    <row r="901" spans="1:33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83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 spans="1:33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83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</row>
    <row r="903" spans="1:3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83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</row>
    <row r="904" spans="1:33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83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</row>
    <row r="905" spans="1:33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83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</row>
    <row r="906" spans="1:33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83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</row>
    <row r="907" spans="1:33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83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</row>
    <row r="908" spans="1:33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83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</row>
    <row r="909" spans="1:33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83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</row>
    <row r="910" spans="1:33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83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</row>
    <row r="911" spans="1:33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83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</row>
    <row r="912" spans="1:33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83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</row>
    <row r="913" spans="1:3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83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</row>
    <row r="914" spans="1:33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83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</row>
    <row r="915" spans="1:33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83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</row>
    <row r="916" spans="1:33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83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</row>
    <row r="917" spans="1:33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83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</row>
    <row r="918" spans="1:33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83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</row>
    <row r="919" spans="1:33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83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</row>
    <row r="920" spans="1:33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83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</row>
    <row r="921" spans="1:33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83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</row>
    <row r="922" spans="1:33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83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</row>
    <row r="923" spans="1:3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83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</row>
    <row r="924" spans="1:33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83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</row>
    <row r="925" spans="1:33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83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</row>
    <row r="926" spans="1:33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83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</row>
    <row r="927" spans="1:33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83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</row>
    <row r="928" spans="1:33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83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</row>
    <row r="929" spans="1:33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83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</row>
    <row r="930" spans="1:33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83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</row>
    <row r="931" spans="1:33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83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</row>
    <row r="932" spans="1:33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83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</row>
    <row r="933" spans="1: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83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</row>
    <row r="934" spans="1:33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83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</row>
    <row r="935" spans="1:33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83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</row>
    <row r="936" spans="1:33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83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</row>
    <row r="937" spans="1:33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83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</row>
    <row r="938" spans="1:33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83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</row>
    <row r="939" spans="1:33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83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</row>
    <row r="940" spans="1:33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83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</row>
    <row r="941" spans="1:33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83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</row>
    <row r="942" spans="1:33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83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</row>
    <row r="943" spans="1:3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83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</row>
    <row r="944" spans="1:33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83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</row>
    <row r="945" spans="1:33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83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</row>
    <row r="946" spans="1:33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83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</row>
    <row r="947" spans="1:33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83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</row>
    <row r="948" spans="1:33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83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</row>
    <row r="949" spans="1:33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83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</row>
    <row r="950" spans="1:33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83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</row>
    <row r="951" spans="1:33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83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</row>
    <row r="952" spans="1:33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83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</row>
    <row r="953" spans="1:3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83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</row>
    <row r="954" spans="1:33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83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</row>
    <row r="955" spans="1:33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83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</row>
    <row r="956" spans="1:33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83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</row>
    <row r="957" spans="1:33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83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</row>
    <row r="958" spans="1:33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83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</row>
    <row r="959" spans="1:33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83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</row>
    <row r="960" spans="1:33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83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</row>
    <row r="961" spans="1:33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83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</row>
    <row r="962" spans="1:33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83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</row>
    <row r="963" spans="1:3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83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</row>
    <row r="964" spans="1:33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83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</row>
    <row r="965" spans="1:33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83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</row>
    <row r="966" spans="1:33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83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</row>
    <row r="967" spans="1:33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83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</row>
    <row r="968" spans="1:33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83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</row>
    <row r="969" spans="1:33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83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</row>
    <row r="970" spans="1:33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83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</row>
    <row r="971" spans="1:33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83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</row>
    <row r="972" spans="1:33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83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</row>
    <row r="973" spans="1:3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83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</row>
    <row r="974" spans="1:33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83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</row>
    <row r="975" spans="1:33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83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</row>
    <row r="976" spans="1:33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83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</row>
    <row r="977" spans="1:33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83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</row>
    <row r="978" spans="1:33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83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</row>
    <row r="979" spans="1:33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83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</row>
    <row r="980" spans="1:33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83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</row>
    <row r="981" spans="1:33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83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</row>
    <row r="982" spans="1:33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83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</row>
    <row r="983" spans="1:3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83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</row>
    <row r="984" spans="1:33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83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</row>
    <row r="985" spans="1:33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83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</row>
    <row r="986" spans="1:33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83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</row>
    <row r="987" spans="1:33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83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</row>
    <row r="988" spans="1:33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83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</row>
    <row r="989" spans="1:33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83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</row>
    <row r="990" spans="1:33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83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</row>
    <row r="991" spans="1:33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83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</row>
    <row r="992" spans="1:33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83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</row>
    <row r="993" spans="1:3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83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</row>
    <row r="994" spans="1:33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83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</row>
    <row r="995" spans="1:33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83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</row>
    <row r="996" spans="1:33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83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</row>
    <row r="997" spans="1:33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83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</row>
    <row r="998" spans="1:33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83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</row>
    <row r="999" spans="1:33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83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</row>
    <row r="1000" spans="1:33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83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</row>
    <row r="1001" spans="1:33" ht="12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83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</row>
    <row r="1002" spans="1:33" ht="12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83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</row>
    <row r="1003" spans="1:33" ht="12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83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</row>
    <row r="1004" spans="1:33" ht="12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83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</row>
    <row r="1005" spans="1:33" ht="12.7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83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</row>
    <row r="1006" spans="1:33" ht="12.7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83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</row>
    <row r="1007" spans="1:33" ht="12.75" customHeigh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83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</row>
    <row r="1008" spans="1:33" ht="12.75" customHeigh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83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</row>
    <row r="1009" spans="1:33" ht="12.75" customHeight="1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83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</row>
    <row r="1010" spans="1:33" ht="12.75" customHeight="1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83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</row>
    <row r="1011" spans="1:33" ht="12.75" customHeight="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83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</row>
    <row r="1012" spans="1:33" ht="12.75" customHeight="1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83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</row>
    <row r="1013" spans="1:33" ht="12.75" customHeight="1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83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</row>
    <row r="1014" spans="1:33" ht="12.75" customHeight="1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83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</row>
    <row r="1015" spans="1:33" ht="12.75" customHeight="1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83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</row>
    <row r="1016" spans="1:33" ht="12.75" customHeight="1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83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</row>
    <row r="1017" spans="1:33" ht="12.75" customHeight="1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83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</row>
    <row r="1018" spans="1:33" ht="12.75" customHeight="1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83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</row>
    <row r="1019" spans="1:33" ht="12.75" customHeight="1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83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</row>
    <row r="1020" spans="1:33" ht="12.75" customHeight="1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83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</row>
    <row r="1021" spans="1:33" ht="12.75" customHeight="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83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</row>
    <row r="1022" spans="1:33" ht="12.75" customHeight="1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83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</row>
    <row r="1023" spans="1:33" ht="12.75" customHeight="1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83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</row>
    <row r="1024" spans="1:33" ht="12.75" customHeight="1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83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</row>
    <row r="1025" spans="1:33" ht="12.75" customHeight="1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83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</row>
    <row r="1026" spans="1:33" ht="12.75" customHeight="1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83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</row>
    <row r="1027" spans="1:33" ht="12.75" customHeight="1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83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</row>
    <row r="1028" spans="1:33" ht="12.75" customHeight="1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83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</row>
    <row r="1029" spans="1:33" ht="12.75" customHeight="1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83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</row>
    <row r="1030" spans="1:33" ht="12.75" customHeight="1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83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</row>
    <row r="1031" spans="1:33" ht="12.75" customHeight="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83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</row>
    <row r="1032" spans="1:33" ht="12.75" customHeight="1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83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</row>
    <row r="1033" spans="1:33" ht="12.75" customHeight="1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83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</row>
    <row r="1034" spans="1:33" ht="12.75" customHeight="1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83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</row>
    <row r="1035" spans="1:33" ht="12.75" customHeight="1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83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</row>
    <row r="1036" spans="1:33" ht="12.75" customHeight="1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83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</row>
    <row r="1037" spans="1:33" ht="12.75" customHeight="1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83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</row>
    <row r="1038" spans="1:33" ht="12.75" customHeight="1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83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</row>
    <row r="1039" spans="1:33" ht="12.75" customHeight="1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83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</row>
    <row r="1040" spans="1:33" ht="12.75" customHeight="1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83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</row>
    <row r="1041" spans="1:33" ht="12.75" customHeight="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83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</row>
    <row r="1042" spans="1:33" ht="12.75" customHeight="1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83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</row>
    <row r="1043" spans="1:33" ht="12.75" customHeight="1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83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</row>
    <row r="1044" spans="1:33" ht="12.75" customHeight="1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83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</row>
    <row r="1045" spans="1:33" ht="12.75" customHeight="1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83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</row>
    <row r="1046" spans="1:33" ht="12.75" customHeight="1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83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</row>
    <row r="1047" spans="1:33" ht="12.75" customHeight="1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83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</row>
    <row r="1048" spans="1:33" ht="12.75" customHeight="1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83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</row>
    <row r="1049" spans="1:33" ht="12.75" customHeight="1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83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</row>
    <row r="1050" spans="1:33" ht="12.75" customHeight="1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83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</row>
    <row r="1051" spans="1:33" ht="12.75" customHeight="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83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</row>
    <row r="1052" spans="1:33" ht="12.75" customHeight="1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83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</row>
    <row r="1053" spans="1:33" ht="12.75" customHeight="1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83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</row>
    <row r="1054" spans="1:33" ht="12.75" customHeight="1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83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</row>
    <row r="1055" spans="1:33" ht="12.75" customHeight="1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83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</row>
    <row r="1056" spans="1:33" ht="12.75" customHeight="1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83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</row>
    <row r="1057" spans="1:33" ht="12.75" customHeight="1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83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</row>
    <row r="1058" spans="1:33" ht="12.75" customHeight="1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83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</row>
    <row r="1059" spans="1:33" ht="12.75" customHeight="1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83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</row>
    <row r="1060" spans="1:33" ht="12.75" customHeight="1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83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</row>
    <row r="1061" spans="1:33" ht="12.75" customHeight="1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83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</row>
    <row r="1062" spans="1:33" ht="12.75" customHeight="1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83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</row>
    <row r="1063" spans="1:33" ht="12.75" customHeight="1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83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</row>
    <row r="1064" spans="1:33" ht="12.75" customHeight="1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83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</row>
    <row r="1065" spans="1:33" ht="12.75" customHeight="1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83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</row>
    <row r="1066" spans="1:33" ht="12.75" customHeight="1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83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</row>
    <row r="1067" spans="1:33" ht="12.75" customHeight="1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83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</row>
    <row r="1068" spans="1:33" ht="12.75" customHeight="1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83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</row>
    <row r="1069" spans="1:33" ht="12.75" customHeight="1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83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</row>
    <row r="1070" spans="1:33" ht="12.75" customHeight="1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83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</row>
    <row r="1071" spans="1:33" ht="12.75" customHeight="1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83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</row>
    <row r="1072" spans="1:33" ht="12.75" customHeight="1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83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</row>
    <row r="1073" spans="1:33" ht="12.75" customHeight="1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83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</row>
    <row r="1074" spans="1:33" ht="12.75" customHeight="1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83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</row>
    <row r="1075" spans="1:33" ht="12.75" customHeight="1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83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</row>
    <row r="1076" spans="1:33" ht="12.75" customHeight="1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83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</row>
    <row r="1077" spans="1:33" ht="12.75" customHeight="1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83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</row>
    <row r="1078" spans="1:33" ht="12.75" customHeight="1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83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</row>
    <row r="1079" spans="1:33" ht="12.75" customHeight="1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83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</row>
    <row r="1080" spans="1:33" ht="12.75" customHeight="1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83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</row>
    <row r="1081" spans="1:33" ht="12.75" customHeight="1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83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</row>
    <row r="1082" spans="1:33" ht="12.75" customHeight="1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83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</row>
    <row r="1083" spans="1:33" ht="12.75" customHeight="1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83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</row>
    <row r="1084" spans="1:33" ht="12.75" customHeight="1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83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</row>
    <row r="1085" spans="1:33" ht="12.75" customHeight="1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83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</row>
    <row r="1086" spans="1:33" ht="12.75" customHeight="1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83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</row>
    <row r="1087" spans="1:33" ht="12.75" customHeight="1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83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</row>
    <row r="1088" spans="1:33" ht="12.75" customHeight="1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83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</row>
    <row r="1089" spans="1:33" ht="12.75" customHeight="1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83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Pedroza Romo</dc:creator>
  <cp:keywords/>
  <dc:description/>
  <cp:lastModifiedBy>David Bennett</cp:lastModifiedBy>
  <cp:revision/>
  <dcterms:created xsi:type="dcterms:W3CDTF">2024-02-14T18:40:33Z</dcterms:created>
  <dcterms:modified xsi:type="dcterms:W3CDTF">2026-07-13T18:55:06Z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0x010100B33D05691D733F49B02219D6E4ED2B6E</vt:lpwstr>
  </property>
</Properties>
</file>