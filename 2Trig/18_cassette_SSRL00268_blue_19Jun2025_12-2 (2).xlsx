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dm255\Downloads\"/>
    </mc:Choice>
  </mc:AlternateContent>
  <xr:revisionPtr revIDLastSave="718" documentId="13_ncr:1_{DAAF7F6D-D1C7-4567-AEB8-A0E212973303}" xr6:coauthVersionLast="47" xr6:coauthVersionMax="47" xr10:uidLastSave="{494CCCFB-B732-4211-8124-4FA41A635A74}"/>
  <bookViews>
    <workbookView xWindow="-108" yWindow="-108" windowWidth="23256" windowHeight="12456" xr2:uid="{22E56827-67F3-4B95-83E5-DA90BC10BE42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1" i="1" l="1"/>
</calcChain>
</file>

<file path=xl/sharedStrings.xml><?xml version="1.0" encoding="utf-8"?>
<sst xmlns="http://schemas.openxmlformats.org/spreadsheetml/2006/main" count="958" uniqueCount="305">
  <si>
    <t>ContainerID</t>
  </si>
  <si>
    <t>Port</t>
  </si>
  <si>
    <t>CrystalID</t>
  </si>
  <si>
    <t>Protein</t>
  </si>
  <si>
    <t>Directory</t>
  </si>
  <si>
    <t>Comment</t>
  </si>
  <si>
    <t>FreezingCond</t>
  </si>
  <si>
    <t>CrystalCond</t>
  </si>
  <si>
    <t>Metal</t>
  </si>
  <si>
    <t>Priority</t>
  </si>
  <si>
    <t>Person</t>
  </si>
  <si>
    <t>Diffraction results</t>
  </si>
  <si>
    <t>spot shape</t>
  </si>
  <si>
    <t>fraction indexed</t>
  </si>
  <si>
    <t>Mosaicity</t>
  </si>
  <si>
    <t>final ISa</t>
  </si>
  <si>
    <t>Frames deleted</t>
  </si>
  <si>
    <t>space group</t>
  </si>
  <si>
    <t>unit cell</t>
  </si>
  <si>
    <t>iso resolution</t>
  </si>
  <si>
    <t>iso rmeas</t>
  </si>
  <si>
    <t>iso num uniq reflections</t>
  </si>
  <si>
    <t>norm to symmetry</t>
  </si>
  <si>
    <t>iso overall % completeness</t>
  </si>
  <si>
    <t>iso overall redundancy</t>
  </si>
  <si>
    <t>aniso resolution</t>
  </si>
  <si>
    <t>aniso rmeas</t>
  </si>
  <si>
    <t>aniso completeness (spherical)</t>
  </si>
  <si>
    <t>aniso elipsoid A</t>
  </si>
  <si>
    <t>aniso elipsoid B</t>
  </si>
  <si>
    <t>aniso elipsoid C</t>
  </si>
  <si>
    <t>searched for?</t>
  </si>
  <si>
    <t>LLG</t>
  </si>
  <si>
    <t>TFZ</t>
  </si>
  <si>
    <t>fit to dens</t>
  </si>
  <si>
    <t>poly seen, termini match?</t>
  </si>
  <si>
    <t>SSRL00268</t>
  </si>
  <si>
    <t>A1</t>
  </si>
  <si>
    <t>SSRL88217 barcode pin</t>
  </si>
  <si>
    <t>Please place barcode pin in this port</t>
  </si>
  <si>
    <t>A2</t>
  </si>
  <si>
    <t>S1T-TV-CMG2 Electro</t>
  </si>
  <si>
    <t>Diamond</t>
  </si>
  <si>
    <t>Cation Screen H3 10mg/mL</t>
  </si>
  <si>
    <t>Maria</t>
  </si>
  <si>
    <t>ice</t>
  </si>
  <si>
    <t>A3</t>
  </si>
  <si>
    <t>salt diff</t>
  </si>
  <si>
    <t>A4</t>
  </si>
  <si>
    <t>1.69 A vis, good spots - crystal dissappeared before collection</t>
  </si>
  <si>
    <t>A5</t>
  </si>
  <si>
    <t>Cation Screen H3 20mg/mL</t>
  </si>
  <si>
    <t>1.8 A vis, also salt</t>
  </si>
  <si>
    <t>A6</t>
  </si>
  <si>
    <t>Huge Diamond</t>
  </si>
  <si>
    <t>Cation Screen H4 20mg/mL</t>
  </si>
  <si>
    <t>1.9 A vis, salt</t>
  </si>
  <si>
    <t>A7</t>
  </si>
  <si>
    <t>S1T-TV-CMG2 Normal</t>
  </si>
  <si>
    <t>Razorblade</t>
  </si>
  <si>
    <t>Salt RX G12 9.8mg/mL</t>
  </si>
  <si>
    <t>weak spots, may be salt</t>
  </si>
  <si>
    <t>A8</t>
  </si>
  <si>
    <t>Salt RX E7 9.8mg/mL</t>
  </si>
  <si>
    <t>Ethan</t>
  </si>
  <si>
    <t>Ice, no diffraction</t>
  </si>
  <si>
    <t>B1</t>
  </si>
  <si>
    <t>no diffraction</t>
  </si>
  <si>
    <t xml:space="preserve"> </t>
  </si>
  <si>
    <t>B2</t>
  </si>
  <si>
    <t>Rods</t>
  </si>
  <si>
    <t>OPT 3.14.25 F12 10mgmL</t>
  </si>
  <si>
    <t>2.8 A vis, collected</t>
  </si>
  <si>
    <t>P61</t>
  </si>
  <si>
    <t>100.878 100.878 49.489 90.0 90.0 120.0</t>
  </si>
  <si>
    <t>B3</t>
  </si>
  <si>
    <t>1.5 A vis, collected</t>
  </si>
  <si>
    <t>101.006 101.006 49.509 90.0 90.0 120.0</t>
  </si>
  <si>
    <t>B4</t>
  </si>
  <si>
    <t>highly mosaic, 3.4 A vis</t>
  </si>
  <si>
    <t>B5</t>
  </si>
  <si>
    <t>no diffraction :(, ice</t>
  </si>
  <si>
    <t>B6</t>
  </si>
  <si>
    <t>B7</t>
  </si>
  <si>
    <t>B8</t>
  </si>
  <si>
    <t>ice, 4.7 A vis</t>
  </si>
  <si>
    <t>C1</t>
  </si>
  <si>
    <t>C2</t>
  </si>
  <si>
    <t>Pebble</t>
  </si>
  <si>
    <t>OPT 3.7.25 B5 10mgmL</t>
  </si>
  <si>
    <t>some ice, 3.4 A vis</t>
  </si>
  <si>
    <t>C3</t>
  </si>
  <si>
    <t>weak spots</t>
  </si>
  <si>
    <t>C4</t>
  </si>
  <si>
    <t>OPT 3.7.25 B6 10mgmL</t>
  </si>
  <si>
    <t>C5</t>
  </si>
  <si>
    <t>Teardrop</t>
  </si>
  <si>
    <t>Hand OPT 3.7.25 C5 10mgmL</t>
  </si>
  <si>
    <t>weak spots, 4.3 A</t>
  </si>
  <si>
    <t>C6</t>
  </si>
  <si>
    <t>3.2A vis, collected</t>
  </si>
  <si>
    <t>P63</t>
  </si>
  <si>
    <t>68.294 68.294 58.539 90.0 90.0 120.0</t>
  </si>
  <si>
    <t>C7</t>
  </si>
  <si>
    <t>Hand OPT 3.7.25 D5 10mgmL</t>
  </si>
  <si>
    <t>weak spots, 4.14A vis</t>
  </si>
  <si>
    <t>C8</t>
  </si>
  <si>
    <t>Hand OPT 3.7.25 D4 10mgmL</t>
  </si>
  <si>
    <t>weak spots, 4.01A vis, collected</t>
  </si>
  <si>
    <t>P6</t>
  </si>
  <si>
    <t>67.866 67.866 56.806 90.0 90.0 120.0</t>
  </si>
  <si>
    <t>D1</t>
  </si>
  <si>
    <t>weak spots 3.6 A vis</t>
  </si>
  <si>
    <t>D2</t>
  </si>
  <si>
    <t>D3</t>
  </si>
  <si>
    <r>
      <rPr>
        <sz val="10"/>
        <color rgb="FF000000"/>
        <rFont val="Arial"/>
      </rPr>
      <t xml:space="preserve">no diffraction/no crystal - </t>
    </r>
    <r>
      <rPr>
        <b/>
        <sz val="10"/>
        <color rgb="FF000000"/>
        <rFont val="Arial"/>
      </rPr>
      <t>Accidentally saved screened images in the brown data folder</t>
    </r>
  </si>
  <si>
    <t>D4</t>
  </si>
  <si>
    <t>D5</t>
  </si>
  <si>
    <t>OPT 3.7.25 A2 10mgmL</t>
  </si>
  <si>
    <t>D6</t>
  </si>
  <si>
    <t>D7</t>
  </si>
  <si>
    <t>D8</t>
  </si>
  <si>
    <t>3.6 A vis, collected, slightly mosaic</t>
  </si>
  <si>
    <t>67.658 67.658 61.234 90.0 90.0 120.0</t>
  </si>
  <si>
    <t>E1</t>
  </si>
  <si>
    <t>E2</t>
  </si>
  <si>
    <t>3.4 A vis. collected</t>
  </si>
  <si>
    <t>67.566 67.566 60.952 90.0 90.0 120.0</t>
  </si>
  <si>
    <t>E3</t>
  </si>
  <si>
    <t>2.9 A vis, collected</t>
  </si>
  <si>
    <t>67.517 67.517 61.187 90.0 90.0 120.0</t>
  </si>
  <si>
    <t>E4</t>
  </si>
  <si>
    <t>Mos OPT 3.7.25 C6 10mgmL</t>
  </si>
  <si>
    <t>E5</t>
  </si>
  <si>
    <t>smeary spots</t>
  </si>
  <si>
    <t>E6</t>
  </si>
  <si>
    <t>Mos OPT 3.7.25 A6 10mgmL</t>
  </si>
  <si>
    <t>E7</t>
  </si>
  <si>
    <t>3.9 A vis, weak spots</t>
  </si>
  <si>
    <t>E8</t>
  </si>
  <si>
    <t>weak diffraction, smeary, 4A vis</t>
  </si>
  <si>
    <t>F1</t>
  </si>
  <si>
    <t>Spheroid</t>
  </si>
  <si>
    <t>OPT 4.22.25 #2 C8 10mgmL</t>
  </si>
  <si>
    <t xml:space="preserve">collected, distinct spots 1.5-2.2 A </t>
  </si>
  <si>
    <t>Failed Indexing</t>
  </si>
  <si>
    <t>F2</t>
  </si>
  <si>
    <r>
      <rPr>
        <sz val="10"/>
        <color rgb="FF000000"/>
        <rFont val="Arial"/>
      </rPr>
      <t xml:space="preserve">2.9 vis, collected </t>
    </r>
    <r>
      <rPr>
        <b/>
        <sz val="10"/>
        <color rgb="FF000000"/>
        <rFont val="Arial"/>
      </rPr>
      <t>NOTE - accidentally collected in the brown cassette folder, did not overwrite any data</t>
    </r>
  </si>
  <si>
    <t>F3</t>
  </si>
  <si>
    <t>ice rings</t>
  </si>
  <si>
    <t>F4</t>
  </si>
  <si>
    <t>ice rings, no crystal</t>
  </si>
  <si>
    <t>F5</t>
  </si>
  <si>
    <t>weak diffraction, smeared</t>
  </si>
  <si>
    <t>F6</t>
  </si>
  <si>
    <t>OPT 3.7.25 B1 10mgmL</t>
  </si>
  <si>
    <t>9.0A maybe salt, fat spots</t>
  </si>
  <si>
    <t>F7</t>
  </si>
  <si>
    <t>no diff</t>
  </si>
  <si>
    <t>F8</t>
  </si>
  <si>
    <t>3.0 A vis, smearey</t>
  </si>
  <si>
    <t xml:space="preserve"> 100.671 100.671 50.239 90.0 90.0 120.0</t>
  </si>
  <si>
    <t>G1</t>
  </si>
  <si>
    <t>2.7 vis slightly less smeared than f8</t>
  </si>
  <si>
    <t>G2</t>
  </si>
  <si>
    <t>OPT 3.14.25 G12 10mgmL</t>
  </si>
  <si>
    <t>no diffraction, some ice</t>
  </si>
  <si>
    <t>G3</t>
  </si>
  <si>
    <t>Lysozyme Electro</t>
  </si>
  <si>
    <t>Prism</t>
  </si>
  <si>
    <t>Sodium acetate 6.2.25 A2 15mgmL</t>
  </si>
  <si>
    <t>1.2 vis whoa</t>
  </si>
  <si>
    <t>P41212</t>
  </si>
  <si>
    <t>78.641 78.641 37.110 90.0 90.0 90.0</t>
  </si>
  <si>
    <t>G4</t>
  </si>
  <si>
    <t>1.2 vis so pretty</t>
  </si>
  <si>
    <t>78.794 78.794 37.075 90.0 90.0 90.0</t>
  </si>
  <si>
    <t>G5</t>
  </si>
  <si>
    <t>1.1 vis 😭</t>
  </si>
  <si>
    <t>78.465 78.465 37.035 90.0 90.0 90.0</t>
  </si>
  <si>
    <t>G6</t>
  </si>
  <si>
    <t>1.6 vis, collected</t>
  </si>
  <si>
    <t>Integration Failed</t>
  </si>
  <si>
    <t>G7</t>
  </si>
  <si>
    <t xml:space="preserve">Lysozyme </t>
  </si>
  <si>
    <t>Sodium acetate 6.2.25 F3 10mgmL</t>
  </si>
  <si>
    <t>G8</t>
  </si>
  <si>
    <t>78.399 78.399 36.908 90.0 90.0 90.0</t>
  </si>
  <si>
    <t>H1</t>
  </si>
  <si>
    <t>Sodium acetate 6.2.25 D1 20mgmL</t>
  </si>
  <si>
    <t>very icy</t>
  </si>
  <si>
    <t>H2</t>
  </si>
  <si>
    <t>H3</t>
  </si>
  <si>
    <t>Sodium acetate 6.2.25 E1 20mgmL</t>
  </si>
  <si>
    <t>collected</t>
  </si>
  <si>
    <t>78.847 78.847 37.092 90.0 90.0 90.0</t>
  </si>
  <si>
    <t>H4</t>
  </si>
  <si>
    <t>78.721 78.721 37.093 90.0 90.0 90.0</t>
  </si>
  <si>
    <t>H5</t>
  </si>
  <si>
    <t>1-TEL-SR-DARPin</t>
  </si>
  <si>
    <t>Hexagonal Prism</t>
  </si>
  <si>
    <t>Crystal Screen E11 13.2 mgmL</t>
  </si>
  <si>
    <t>Celeste</t>
  </si>
  <si>
    <t>ice, no diff</t>
  </si>
  <si>
    <t>H6</t>
  </si>
  <si>
    <t>good diffraction, 2.9 A vis (2.57 according to wisdom and jacob) no ice</t>
  </si>
  <si>
    <t>Fairly good</t>
  </si>
  <si>
    <t>83.667 83.667 59.725 90.0 90.0 120.0</t>
  </si>
  <si>
    <t>H7</t>
  </si>
  <si>
    <t>2.3 vis, smearing, no ice</t>
  </si>
  <si>
    <t>83.587 83.587 59.298 90.0 90.0 120.0</t>
  </si>
  <si>
    <t>H8</t>
  </si>
  <si>
    <t>2.0 vis, no ice</t>
  </si>
  <si>
    <t>83.586 83.586 59.337 90.0 90.0 120.0</t>
  </si>
  <si>
    <t>I1</t>
  </si>
  <si>
    <t>2.2 vis, no ice (my connection timed out while I was collecting, so it maybe missed some images?)</t>
  </si>
  <si>
    <t>83.638 83.638 59.837 90.0 90.0 120.0</t>
  </si>
  <si>
    <t>I2</t>
  </si>
  <si>
    <t>Crystal Screen E11 5.4 mgmL</t>
  </si>
  <si>
    <t>Wisdom</t>
  </si>
  <si>
    <t>I3</t>
  </si>
  <si>
    <t>1TEL-SR-DARPin</t>
  </si>
  <si>
    <t>Sliver</t>
  </si>
  <si>
    <t>Salt Rx G10 13.2 mgmL</t>
  </si>
  <si>
    <t>9.0 A vis</t>
  </si>
  <si>
    <t>I4</t>
  </si>
  <si>
    <t>no diff, ice</t>
  </si>
  <si>
    <t>I5</t>
  </si>
  <si>
    <t>10xHis-1TEl-Darpin Precipitation</t>
  </si>
  <si>
    <t>N/A</t>
  </si>
  <si>
    <t>8.0 A, ice</t>
  </si>
  <si>
    <t>I6</t>
  </si>
  <si>
    <t>Hexagonal Rods</t>
  </si>
  <si>
    <t>CrystalScreen 5.4mg/mL A3</t>
  </si>
  <si>
    <r>
      <rPr>
        <sz val="10"/>
        <color rgb="FF000000"/>
        <rFont val="Arial"/>
      </rPr>
      <t xml:space="preserve">3.0 A vis, collected - </t>
    </r>
    <r>
      <rPr>
        <b/>
        <sz val="10"/>
        <color rgb="FF000000"/>
        <rFont val="Arial"/>
      </rPr>
      <t xml:space="preserve"> NOTE - accidentally collected in the brown cassette folder, did not overwrite any data</t>
    </r>
  </si>
  <si>
    <t>79.079 79.079 58.548 90.0 90.0 120.0</t>
  </si>
  <si>
    <t>I7</t>
  </si>
  <si>
    <t>I8</t>
  </si>
  <si>
    <t>icy</t>
  </si>
  <si>
    <t>J1</t>
  </si>
  <si>
    <t>10xHis-1TEL-vWa Precipitation</t>
  </si>
  <si>
    <t>Plate</t>
  </si>
  <si>
    <t>Index_H11_5mg</t>
  </si>
  <si>
    <t>J2</t>
  </si>
  <si>
    <t>1TEL-vWA-CID3 03/14/2025 (15mg&amp;5mg)</t>
  </si>
  <si>
    <t>Long rod</t>
  </si>
  <si>
    <t>SaltRx G1-2</t>
  </si>
  <si>
    <t>Prasadika</t>
  </si>
  <si>
    <t>empty but you can double check with raster</t>
  </si>
  <si>
    <t>J3</t>
  </si>
  <si>
    <t>Large Cube</t>
  </si>
  <si>
    <t>SaltRx G1-1</t>
  </si>
  <si>
    <t>J4</t>
  </si>
  <si>
    <t>Short rod</t>
  </si>
  <si>
    <t>some Ice, no diffraction</t>
  </si>
  <si>
    <t>J5</t>
  </si>
  <si>
    <t>SaltRx G2-1</t>
  </si>
  <si>
    <t>some Ice, some diffraction at 6A</t>
  </si>
  <si>
    <t>J6</t>
  </si>
  <si>
    <t>J7</t>
  </si>
  <si>
    <t>SaltRx G2-2</t>
  </si>
  <si>
    <t>J8</t>
  </si>
  <si>
    <t>K1</t>
  </si>
  <si>
    <t>Long Prism</t>
  </si>
  <si>
    <t>PegCustom H9-1</t>
  </si>
  <si>
    <t>K2</t>
  </si>
  <si>
    <t>10xHis-1TEL-SR-DARPin</t>
  </si>
  <si>
    <t>Round-edged rod</t>
  </si>
  <si>
    <t>Salt RX C3 15mg/mL</t>
  </si>
  <si>
    <t>Jacob</t>
  </si>
  <si>
    <t>Some ice, 4.4A vis</t>
  </si>
  <si>
    <t>K3</t>
  </si>
  <si>
    <t>Ice, 21A vis</t>
  </si>
  <si>
    <t>K4</t>
  </si>
  <si>
    <t>Some ice, no crystal</t>
  </si>
  <si>
    <t>K5</t>
  </si>
  <si>
    <t>Multiple small crystals, 7.3A vis for middle fragment</t>
  </si>
  <si>
    <t>K6</t>
  </si>
  <si>
    <t>K7</t>
  </si>
  <si>
    <t>Empty loop</t>
  </si>
  <si>
    <t>K8</t>
  </si>
  <si>
    <t>L1</t>
  </si>
  <si>
    <t>Collected (500mm distance)</t>
  </si>
  <si>
    <t>Good</t>
  </si>
  <si>
    <t>P1</t>
  </si>
  <si>
    <t>48.320 100.885 101.016 60.134 89.840 89.978</t>
  </si>
  <si>
    <t>L2</t>
  </si>
  <si>
    <t>Very minimal diffraction</t>
  </si>
  <si>
    <t>L3</t>
  </si>
  <si>
    <t>Gumdrop</t>
  </si>
  <si>
    <t>Crystal Screen A11 15mg/mL</t>
  </si>
  <si>
    <t>Collected, some ice</t>
  </si>
  <si>
    <t>Ok</t>
  </si>
  <si>
    <t>83.286 83.286 58.985 90.0 90.0 120.0</t>
  </si>
  <si>
    <t>L4</t>
  </si>
  <si>
    <t>Collected, no Ice</t>
  </si>
  <si>
    <t>83.603 83.603 58.311 90.0 90.0 120.0</t>
  </si>
  <si>
    <t>L5</t>
  </si>
  <si>
    <t>Minimal Diffraction</t>
  </si>
  <si>
    <t>L6</t>
  </si>
  <si>
    <t>58.713 82.731 82.813 60.144 89.894 89.868</t>
  </si>
  <si>
    <t>L7</t>
  </si>
  <si>
    <t>Collected, Ice</t>
  </si>
  <si>
    <t>83.442 83.442 58.820 90.0 90.0 120.0</t>
  </si>
  <si>
    <t>L8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</si>
</sst>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</font>
    <font>
      <sz val="10"/>
      <color rgb="FF000000"/>
      <name val="Calibri"/>
      <scheme val="minor"/>
    </font>
    <font>
      <b/>
      <sz val="10"/>
      <color theme="1"/>
      <name val="Aptos Display"/>
      <scheme val="major"/>
    </font>
    <font>
      <sz val="10"/>
      <color rgb="FF000000"/>
      <name val="Arial"/>
      <family val="2"/>
    </font>
    <font>
      <b/>
      <sz val="10"/>
      <color rgb="FF000000"/>
      <name val="Arial"/>
    </font>
    <font>
      <b/>
      <sz val="10"/>
      <color theme="1"/>
      <name val="Arial"/>
      <family val="2"/>
    </font>
    <font>
      <sz val="11"/>
      <color rgb="FF000000"/>
      <name val="Calibri"/>
      <charset val="1"/>
    </font>
    <font>
      <b/>
      <sz val="10"/>
      <name val="Arial"/>
      <family val="2"/>
    </font>
    <font>
      <b/>
      <u/>
      <sz val="10"/>
      <name val="Arial"/>
      <family val="2"/>
    </font>
    <font>
      <b/>
      <sz val="10"/>
      <color rgb="FF000000"/>
      <name val="Calibri"/>
      <scheme val="minor"/>
    </font>
    <font>
      <b/>
      <i/>
      <sz val="10"/>
      <name val="Arial"/>
      <family val="2"/>
    </font>
    <font>
      <b/>
      <i/>
      <sz val="10"/>
      <color rgb="FF000000"/>
      <name val="Arial"/>
    </font>
    <font>
      <b/>
      <i/>
      <sz val="10"/>
      <color theme="1"/>
      <name val="Arial"/>
      <family val="2"/>
    </font>
    <font>
      <b/>
      <i/>
      <u/>
      <sz val="10"/>
      <name val="Arial"/>
      <family val="2"/>
    </font>
    <font>
      <b/>
      <i/>
      <sz val="10"/>
      <color rgb="FF00000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33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75">
    <xf numFmtId="0" fontId="0" fillId="0" borderId="0" xfId="0"/>
    <xf numFmtId="49" fontId="1" fillId="0" borderId="2" xfId="1" applyNumberFormat="1" applyBorder="1" applyAlignment="1">
      <alignment horizontal="center"/>
    </xf>
    <xf numFmtId="0" fontId="1" fillId="0" borderId="2" xfId="1" applyBorder="1" applyAlignment="1">
      <alignment horizontal="center"/>
    </xf>
    <xf numFmtId="0" fontId="2" fillId="0" borderId="2" xfId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49" fontId="1" fillId="0" borderId="1" xfId="1" applyNumberFormat="1" applyBorder="1" applyAlignment="1">
      <alignment horizontal="center"/>
    </xf>
    <xf numFmtId="0" fontId="1" fillId="0" borderId="1" xfId="1" applyBorder="1" applyAlignment="1">
      <alignment horizontal="center"/>
    </xf>
    <xf numFmtId="0" fontId="2" fillId="0" borderId="1" xfId="1" applyFont="1" applyBorder="1" applyAlignment="1">
      <alignment horizontal="center"/>
    </xf>
    <xf numFmtId="49" fontId="1" fillId="2" borderId="0" xfId="1" applyNumberFormat="1" applyFill="1" applyAlignment="1">
      <alignment horizontal="center"/>
    </xf>
    <xf numFmtId="49" fontId="1" fillId="2" borderId="4" xfId="1" applyNumberFormat="1" applyFill="1" applyBorder="1" applyAlignment="1">
      <alignment horizontal="center"/>
    </xf>
    <xf numFmtId="0" fontId="3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164" fontId="1" fillId="0" borderId="5" xfId="1" applyNumberFormat="1" applyBorder="1" applyAlignment="1">
      <alignment horizontal="center"/>
    </xf>
    <xf numFmtId="49" fontId="1" fillId="0" borderId="5" xfId="1" applyNumberFormat="1" applyBorder="1" applyAlignment="1">
      <alignment horizontal="center"/>
    </xf>
    <xf numFmtId="0" fontId="1" fillId="0" borderId="5" xfId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0" xfId="0" applyFont="1" applyAlignment="1">
      <alignment horizontal="center" vertical="center" textRotation="90" wrapText="1"/>
    </xf>
    <xf numFmtId="164" fontId="1" fillId="3" borderId="5" xfId="1" applyNumberFormat="1" applyFill="1" applyBorder="1" applyAlignment="1">
      <alignment horizontal="center"/>
    </xf>
    <xf numFmtId="49" fontId="1" fillId="3" borderId="2" xfId="1" applyNumberForma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1" fillId="3" borderId="2" xfId="1" applyFill="1" applyBorder="1" applyAlignment="1">
      <alignment horizontal="center"/>
    </xf>
    <xf numFmtId="0" fontId="2" fillId="3" borderId="2" xfId="1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14" fontId="3" fillId="3" borderId="0" xfId="0" applyNumberFormat="1" applyFont="1" applyFill="1" applyAlignment="1">
      <alignment horizontal="center"/>
    </xf>
    <xf numFmtId="49" fontId="1" fillId="3" borderId="7" xfId="1" applyNumberForma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49" fontId="1" fillId="3" borderId="4" xfId="1" applyNumberForma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 wrapText="1"/>
    </xf>
    <xf numFmtId="0" fontId="5" fillId="3" borderId="2" xfId="0" applyFont="1" applyFill="1" applyBorder="1" applyAlignment="1">
      <alignment horizontal="center"/>
    </xf>
    <xf numFmtId="164" fontId="7" fillId="0" borderId="5" xfId="1" applyNumberFormat="1" applyFont="1" applyBorder="1" applyAlignment="1">
      <alignment horizontal="center"/>
    </xf>
    <xf numFmtId="49" fontId="7" fillId="0" borderId="2" xfId="1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2" xfId="1" applyFont="1" applyBorder="1" applyAlignment="1">
      <alignment horizontal="center"/>
    </xf>
    <xf numFmtId="0" fontId="6" fillId="0" borderId="0" xfId="0" applyFont="1" applyAlignment="1">
      <alignment horizontal="center" vertical="center" textRotation="90"/>
    </xf>
    <xf numFmtId="0" fontId="9" fillId="3" borderId="0" xfId="0" applyFont="1" applyFill="1" applyAlignment="1">
      <alignment horizontal="center"/>
    </xf>
    <xf numFmtId="1" fontId="3" fillId="3" borderId="0" xfId="0" applyNumberFormat="1" applyFont="1" applyFill="1" applyAlignment="1">
      <alignment horizontal="center"/>
    </xf>
    <xf numFmtId="0" fontId="1" fillId="3" borderId="7" xfId="1" applyFill="1" applyBorder="1" applyAlignment="1">
      <alignment horizontal="center"/>
    </xf>
    <xf numFmtId="0" fontId="1" fillId="3" borderId="4" xfId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164" fontId="1" fillId="4" borderId="5" xfId="1" applyNumberFormat="1" applyFill="1" applyBorder="1" applyAlignment="1">
      <alignment horizontal="center"/>
    </xf>
    <xf numFmtId="49" fontId="1" fillId="4" borderId="2" xfId="1" applyNumberFormat="1" applyFill="1" applyBorder="1" applyAlignment="1">
      <alignment horizontal="center"/>
    </xf>
    <xf numFmtId="49" fontId="1" fillId="4" borderId="7" xfId="1" applyNumberForma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49" fontId="1" fillId="4" borderId="4" xfId="1" applyNumberFormat="1" applyFill="1" applyBorder="1" applyAlignment="1">
      <alignment horizontal="center"/>
    </xf>
    <xf numFmtId="0" fontId="1" fillId="4" borderId="7" xfId="1" applyFill="1" applyBorder="1" applyAlignment="1">
      <alignment horizontal="center"/>
    </xf>
    <xf numFmtId="0" fontId="1" fillId="4" borderId="4" xfId="1" applyFill="1" applyBorder="1" applyAlignment="1">
      <alignment horizontal="center"/>
    </xf>
    <xf numFmtId="0" fontId="1" fillId="4" borderId="2" xfId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1" fontId="3" fillId="4" borderId="0" xfId="0" applyNumberFormat="1" applyFont="1" applyFill="1" applyAlignment="1">
      <alignment horizontal="center"/>
    </xf>
    <xf numFmtId="0" fontId="10" fillId="0" borderId="0" xfId="0" applyFont="1"/>
    <xf numFmtId="164" fontId="11" fillId="3" borderId="5" xfId="1" applyNumberFormat="1" applyFont="1" applyFill="1" applyBorder="1" applyAlignment="1">
      <alignment horizontal="center"/>
    </xf>
    <xf numFmtId="49" fontId="11" fillId="3" borderId="2" xfId="1" applyNumberFormat="1" applyFont="1" applyFill="1" applyBorder="1" applyAlignment="1">
      <alignment horizontal="center"/>
    </xf>
    <xf numFmtId="0" fontId="8" fillId="3" borderId="0" xfId="0" applyFont="1" applyFill="1" applyAlignment="1">
      <alignment horizontal="center"/>
    </xf>
    <xf numFmtId="0" fontId="11" fillId="3" borderId="2" xfId="1" applyFont="1" applyFill="1" applyBorder="1" applyAlignment="1">
      <alignment horizontal="center"/>
    </xf>
    <xf numFmtId="0" fontId="8" fillId="3" borderId="0" xfId="0" applyFont="1" applyFill="1" applyAlignment="1">
      <alignment horizontal="center" wrapText="1"/>
    </xf>
    <xf numFmtId="0" fontId="12" fillId="3" borderId="2" xfId="1" applyFont="1" applyFill="1" applyBorder="1" applyAlignment="1">
      <alignment horizontal="center"/>
    </xf>
    <xf numFmtId="0" fontId="13" fillId="3" borderId="2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 textRotation="90" wrapText="1"/>
    </xf>
    <xf numFmtId="0" fontId="3" fillId="5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164" fontId="14" fillId="4" borderId="5" xfId="1" applyNumberFormat="1" applyFont="1" applyFill="1" applyBorder="1" applyAlignment="1">
      <alignment horizontal="center"/>
    </xf>
    <xf numFmtId="49" fontId="14" fillId="4" borderId="2" xfId="1" applyNumberFormat="1" applyFont="1" applyFill="1" applyBorder="1" applyAlignment="1">
      <alignment horizontal="center"/>
    </xf>
    <xf numFmtId="0" fontId="15" fillId="4" borderId="0" xfId="0" applyFont="1" applyFill="1" applyAlignment="1">
      <alignment horizontal="center"/>
    </xf>
    <xf numFmtId="0" fontId="16" fillId="4" borderId="0" xfId="0" applyFont="1" applyFill="1" applyAlignment="1">
      <alignment horizontal="center"/>
    </xf>
    <xf numFmtId="0" fontId="14" fillId="4" borderId="2" xfId="1" applyFont="1" applyFill="1" applyBorder="1" applyAlignment="1">
      <alignment horizontal="center"/>
    </xf>
    <xf numFmtId="0" fontId="15" fillId="4" borderId="0" xfId="0" applyFont="1" applyFill="1" applyAlignment="1">
      <alignment horizontal="center" wrapText="1"/>
    </xf>
    <xf numFmtId="0" fontId="17" fillId="4" borderId="2" xfId="1" applyFont="1" applyFill="1" applyBorder="1" applyAlignment="1">
      <alignment horizontal="center"/>
    </xf>
    <xf numFmtId="0" fontId="18" fillId="4" borderId="2" xfId="0" applyFont="1" applyFill="1" applyBorder="1" applyAlignment="1">
      <alignment horizontal="center"/>
    </xf>
  </cellXfs>
  <cellStyles count="2">
    <cellStyle name="Normal" xfId="0" builtinId="0"/>
    <cellStyle name="Normal 2" xfId="1" xr:uid="{D83D1A2E-C2AF-48D4-B610-E6D4F2F2B262}"/>
  </cellStyles>
  <dxfs count="0"/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2079F-03FA-4F0D-8E81-48507E7C9415}">
  <dimension ref="A1:AJ98"/>
  <sheetViews>
    <sheetView tabSelected="1" zoomScaleNormal="100" workbookViewId="0">
      <pane ySplit="1" topLeftCell="A2" activePane="bottomLeft" state="frozen"/>
      <selection pane="bottomLeft" activeCell="AJ1" sqref="AJ1"/>
    </sheetView>
  </sheetViews>
  <sheetFormatPr defaultColWidth="9.140625" defaultRowHeight="13.15"/>
  <cols>
    <col min="1" max="1" width="13.7109375" style="10" customWidth="1"/>
    <col min="2" max="2" width="4.42578125" style="10" customWidth="1"/>
    <col min="3" max="3" width="8.5703125" style="10" customWidth="1"/>
    <col min="4" max="4" width="37" style="10" bestFit="1" customWidth="1"/>
    <col min="5" max="5" width="8.42578125" style="10" customWidth="1"/>
    <col min="6" max="6" width="31.85546875" style="10" customWidth="1"/>
    <col min="7" max="7" width="12.42578125" style="10" customWidth="1"/>
    <col min="8" max="8" width="29.85546875" style="10" customWidth="1"/>
    <col min="9" max="9" width="5.5703125" style="10" customWidth="1"/>
    <col min="10" max="10" width="6.85546875" style="10" customWidth="1"/>
    <col min="11" max="11" width="10.28515625" style="10" customWidth="1"/>
    <col min="12" max="12" width="26.42578125" style="10" customWidth="1"/>
    <col min="13" max="13" width="19.28515625" style="10" bestFit="1" customWidth="1"/>
    <col min="14" max="14" width="5.5703125" style="10" bestFit="1" customWidth="1"/>
    <col min="15" max="15" width="12.85546875" style="10" bestFit="1" customWidth="1"/>
    <col min="16" max="16" width="7.140625" style="10" bestFit="1" customWidth="1"/>
    <col min="17" max="17" width="9.42578125" style="10" bestFit="1" customWidth="1"/>
    <col min="18" max="18" width="9.140625" style="10"/>
    <col min="19" max="19" width="35.5703125" style="10" bestFit="1" customWidth="1"/>
    <col min="20" max="20" width="9.140625" style="65"/>
    <col min="21" max="16384" width="9.140625" style="10"/>
  </cols>
  <sheetData>
    <row r="1" spans="1:36" ht="51.75" customHeigh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9" t="s">
        <v>10</v>
      </c>
      <c r="L1" s="39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64" t="s">
        <v>19</v>
      </c>
      <c r="U1" s="21" t="s">
        <v>20</v>
      </c>
      <c r="V1" s="21" t="s">
        <v>21</v>
      </c>
      <c r="W1" s="21" t="s">
        <v>22</v>
      </c>
      <c r="X1" s="21" t="s">
        <v>23</v>
      </c>
      <c r="Y1" s="21" t="s">
        <v>24</v>
      </c>
      <c r="Z1" s="21" t="s">
        <v>25</v>
      </c>
      <c r="AA1" s="21" t="s">
        <v>26</v>
      </c>
      <c r="AB1" s="21" t="s">
        <v>27</v>
      </c>
      <c r="AC1" s="21" t="s">
        <v>28</v>
      </c>
      <c r="AD1" s="21" t="s">
        <v>29</v>
      </c>
      <c r="AE1" s="21" t="s">
        <v>30</v>
      </c>
      <c r="AF1" s="21" t="s">
        <v>31</v>
      </c>
      <c r="AG1" s="21" t="s">
        <v>32</v>
      </c>
      <c r="AH1" s="21" t="s">
        <v>33</v>
      </c>
      <c r="AI1" s="21" t="s">
        <v>34</v>
      </c>
      <c r="AJ1" s="21" t="s">
        <v>35</v>
      </c>
    </row>
    <row r="2" spans="1:36">
      <c r="A2" s="12" t="s">
        <v>36</v>
      </c>
      <c r="B2" s="13" t="s">
        <v>37</v>
      </c>
      <c r="C2" s="13" t="s">
        <v>37</v>
      </c>
      <c r="D2" s="13" t="s">
        <v>38</v>
      </c>
      <c r="E2" s="13" t="s">
        <v>37</v>
      </c>
      <c r="F2" s="13" t="s">
        <v>39</v>
      </c>
      <c r="G2" s="14"/>
      <c r="H2" s="14"/>
      <c r="I2" s="14"/>
      <c r="J2" s="14"/>
      <c r="K2" s="14"/>
    </row>
    <row r="3" spans="1:36" ht="13.9">
      <c r="A3" s="12" t="s">
        <v>36</v>
      </c>
      <c r="B3" s="1" t="s">
        <v>40</v>
      </c>
      <c r="C3" s="1" t="s">
        <v>40</v>
      </c>
      <c r="D3" s="19" t="s">
        <v>41</v>
      </c>
      <c r="E3" s="1" t="s">
        <v>40</v>
      </c>
      <c r="F3" s="10" t="s">
        <v>42</v>
      </c>
      <c r="G3" s="2"/>
      <c r="H3" s="18" t="s">
        <v>43</v>
      </c>
      <c r="I3" s="3"/>
      <c r="J3" s="3"/>
      <c r="K3" s="20" t="s">
        <v>44</v>
      </c>
      <c r="L3" s="10" t="s">
        <v>45</v>
      </c>
      <c r="Q3" s="11"/>
    </row>
    <row r="4" spans="1:36" ht="13.9">
      <c r="A4" s="12" t="s">
        <v>36</v>
      </c>
      <c r="B4" s="1" t="s">
        <v>46</v>
      </c>
      <c r="C4" s="1" t="s">
        <v>46</v>
      </c>
      <c r="D4" s="19" t="s">
        <v>41</v>
      </c>
      <c r="E4" s="1" t="s">
        <v>46</v>
      </c>
      <c r="F4" s="10" t="s">
        <v>42</v>
      </c>
      <c r="G4" s="2"/>
      <c r="H4" s="18" t="s">
        <v>43</v>
      </c>
      <c r="I4" s="2"/>
      <c r="J4" s="2"/>
      <c r="K4" s="20" t="s">
        <v>44</v>
      </c>
      <c r="L4" s="10" t="s">
        <v>47</v>
      </c>
      <c r="Q4" s="11"/>
    </row>
    <row r="5" spans="1:36" ht="12.75">
      <c r="A5" s="35" t="s">
        <v>36</v>
      </c>
      <c r="B5" s="36" t="s">
        <v>48</v>
      </c>
      <c r="C5" s="36" t="s">
        <v>48</v>
      </c>
      <c r="D5" s="19" t="s">
        <v>41</v>
      </c>
      <c r="E5" s="36" t="s">
        <v>48</v>
      </c>
      <c r="F5" s="37" t="s">
        <v>42</v>
      </c>
      <c r="G5" s="38"/>
      <c r="H5" s="18" t="s">
        <v>43</v>
      </c>
      <c r="I5" s="38"/>
      <c r="J5" s="38"/>
      <c r="K5" s="20" t="s">
        <v>44</v>
      </c>
      <c r="L5" s="37" t="s">
        <v>49</v>
      </c>
      <c r="Q5" s="11"/>
    </row>
    <row r="6" spans="1:36" ht="13.9">
      <c r="A6" s="12" t="s">
        <v>36</v>
      </c>
      <c r="B6" s="1" t="s">
        <v>50</v>
      </c>
      <c r="C6" s="1" t="s">
        <v>50</v>
      </c>
      <c r="D6" s="19" t="s">
        <v>41</v>
      </c>
      <c r="E6" s="1" t="s">
        <v>50</v>
      </c>
      <c r="F6" s="10" t="s">
        <v>42</v>
      </c>
      <c r="G6" s="2"/>
      <c r="H6" s="18" t="s">
        <v>51</v>
      </c>
      <c r="I6" s="2"/>
      <c r="J6" s="2"/>
      <c r="K6" s="20" t="s">
        <v>44</v>
      </c>
      <c r="L6" s="10" t="s">
        <v>52</v>
      </c>
      <c r="Q6" s="11"/>
    </row>
    <row r="7" spans="1:36" ht="13.9">
      <c r="A7" s="12" t="s">
        <v>36</v>
      </c>
      <c r="B7" s="1" t="s">
        <v>53</v>
      </c>
      <c r="C7" s="1" t="s">
        <v>53</v>
      </c>
      <c r="D7" s="19" t="s">
        <v>41</v>
      </c>
      <c r="E7" s="1" t="s">
        <v>53</v>
      </c>
      <c r="F7" s="10" t="s">
        <v>54</v>
      </c>
      <c r="G7" s="2"/>
      <c r="H7" s="18" t="s">
        <v>55</v>
      </c>
      <c r="I7" s="2"/>
      <c r="J7" s="2"/>
      <c r="K7" s="20" t="s">
        <v>44</v>
      </c>
      <c r="L7" s="10" t="s">
        <v>56</v>
      </c>
      <c r="Q7" s="11"/>
    </row>
    <row r="8" spans="1:36" ht="13.9">
      <c r="A8" s="12" t="s">
        <v>36</v>
      </c>
      <c r="B8" s="1" t="s">
        <v>57</v>
      </c>
      <c r="C8" s="1" t="s">
        <v>57</v>
      </c>
      <c r="D8" s="19" t="s">
        <v>58</v>
      </c>
      <c r="E8" s="1" t="s">
        <v>57</v>
      </c>
      <c r="F8" s="10" t="s">
        <v>59</v>
      </c>
      <c r="G8" s="2"/>
      <c r="H8" s="18" t="s">
        <v>60</v>
      </c>
      <c r="I8" s="2"/>
      <c r="J8" s="2"/>
      <c r="K8" s="20" t="s">
        <v>44</v>
      </c>
      <c r="L8" s="10" t="s">
        <v>61</v>
      </c>
      <c r="Q8" s="11"/>
    </row>
    <row r="9" spans="1:36" ht="13.9">
      <c r="A9" s="12" t="s">
        <v>36</v>
      </c>
      <c r="B9" s="1" t="s">
        <v>62</v>
      </c>
      <c r="C9" s="1" t="s">
        <v>62</v>
      </c>
      <c r="D9" s="19" t="s">
        <v>58</v>
      </c>
      <c r="E9" s="1" t="s">
        <v>62</v>
      </c>
      <c r="F9" s="10" t="s">
        <v>59</v>
      </c>
      <c r="G9" s="2"/>
      <c r="H9" s="18" t="s">
        <v>63</v>
      </c>
      <c r="I9" s="3"/>
      <c r="J9" s="3"/>
      <c r="K9" s="20" t="s">
        <v>64</v>
      </c>
      <c r="L9" s="10" t="s">
        <v>65</v>
      </c>
      <c r="Q9" s="11"/>
    </row>
    <row r="10" spans="1:36" ht="13.9">
      <c r="A10" s="12" t="s">
        <v>36</v>
      </c>
      <c r="B10" s="1" t="s">
        <v>66</v>
      </c>
      <c r="C10" s="1" t="s">
        <v>66</v>
      </c>
      <c r="D10" s="19" t="s">
        <v>58</v>
      </c>
      <c r="E10" s="1" t="s">
        <v>66</v>
      </c>
      <c r="F10" s="10" t="s">
        <v>59</v>
      </c>
      <c r="G10" s="2"/>
      <c r="H10" s="18" t="s">
        <v>63</v>
      </c>
      <c r="I10" s="3"/>
      <c r="J10" s="3"/>
      <c r="K10" s="20" t="s">
        <v>64</v>
      </c>
      <c r="L10" s="10" t="s">
        <v>67</v>
      </c>
      <c r="Q10" s="11"/>
      <c r="R10" s="10" t="s">
        <v>68</v>
      </c>
    </row>
    <row r="11" spans="1:36" s="24" customFormat="1" ht="13.9">
      <c r="A11" s="22" t="s">
        <v>36</v>
      </c>
      <c r="B11" s="23" t="s">
        <v>69</v>
      </c>
      <c r="C11" s="23" t="s">
        <v>69</v>
      </c>
      <c r="D11" s="32" t="s">
        <v>58</v>
      </c>
      <c r="E11" s="23" t="s">
        <v>69</v>
      </c>
      <c r="F11" s="24" t="s">
        <v>70</v>
      </c>
      <c r="G11" s="25"/>
      <c r="H11" s="33" t="s">
        <v>71</v>
      </c>
      <c r="I11" s="26"/>
      <c r="J11" s="26"/>
      <c r="K11" s="34" t="s">
        <v>64</v>
      </c>
      <c r="L11" s="24" t="s">
        <v>72</v>
      </c>
      <c r="N11" s="24">
        <v>69</v>
      </c>
      <c r="O11" s="24">
        <v>0.45</v>
      </c>
      <c r="Q11" s="24">
        <v>0</v>
      </c>
      <c r="R11" s="24" t="s">
        <v>73</v>
      </c>
      <c r="S11" s="24" t="s">
        <v>74</v>
      </c>
      <c r="T11" s="65">
        <v>1.855</v>
      </c>
      <c r="U11" s="24">
        <v>9.4E-2</v>
      </c>
      <c r="V11" s="24">
        <v>24524</v>
      </c>
      <c r="X11" s="24">
        <v>100</v>
      </c>
      <c r="Y11" s="24">
        <v>9.8000000000000007</v>
      </c>
      <c r="Z11" s="24">
        <v>1.782</v>
      </c>
      <c r="AA11" s="24">
        <v>9.1999999999999998E-2</v>
      </c>
      <c r="AB11" s="24">
        <v>81.8</v>
      </c>
      <c r="AC11" s="24">
        <v>1.8140000000000001</v>
      </c>
      <c r="AD11" s="24">
        <v>1.8140000000000001</v>
      </c>
      <c r="AE11" s="24">
        <v>1.9890000000000001</v>
      </c>
    </row>
    <row r="12" spans="1:36" s="70" customFormat="1" ht="12.75">
      <c r="A12" s="67" t="s">
        <v>36</v>
      </c>
      <c r="B12" s="68" t="s">
        <v>75</v>
      </c>
      <c r="C12" s="68" t="s">
        <v>75</v>
      </c>
      <c r="D12" s="69" t="s">
        <v>58</v>
      </c>
      <c r="E12" s="68" t="s">
        <v>75</v>
      </c>
      <c r="F12" s="70" t="s">
        <v>70</v>
      </c>
      <c r="G12" s="71"/>
      <c r="H12" s="72" t="s">
        <v>71</v>
      </c>
      <c r="I12" s="73"/>
      <c r="J12" s="73"/>
      <c r="K12" s="74" t="s">
        <v>64</v>
      </c>
      <c r="L12" s="70" t="s">
        <v>76</v>
      </c>
      <c r="N12" s="70">
        <v>80</v>
      </c>
      <c r="O12" s="70">
        <v>0.18</v>
      </c>
      <c r="P12" s="70">
        <v>29.27</v>
      </c>
      <c r="Q12" s="70">
        <v>0</v>
      </c>
      <c r="R12" s="70" t="s">
        <v>73</v>
      </c>
      <c r="S12" s="70" t="s">
        <v>77</v>
      </c>
      <c r="T12" s="70">
        <v>1.669</v>
      </c>
      <c r="U12" s="70">
        <v>5.0999999999999997E-2</v>
      </c>
      <c r="V12" s="70">
        <v>32878</v>
      </c>
      <c r="X12" s="70">
        <v>97.6</v>
      </c>
      <c r="Y12" s="70">
        <v>8.3000000000000007</v>
      </c>
      <c r="Z12" s="70">
        <v>1.6060000000000001</v>
      </c>
      <c r="AA12" s="70">
        <v>5.0999999999999997E-2</v>
      </c>
      <c r="AB12" s="70">
        <v>80.7</v>
      </c>
      <c r="AC12" s="70">
        <v>1.62</v>
      </c>
      <c r="AD12" s="70">
        <v>1.62</v>
      </c>
      <c r="AE12" s="70">
        <v>1.8220000000000001</v>
      </c>
    </row>
    <row r="13" spans="1:36" ht="13.9">
      <c r="A13" s="12" t="s">
        <v>36</v>
      </c>
      <c r="B13" s="1" t="s">
        <v>78</v>
      </c>
      <c r="C13" s="1" t="s">
        <v>78</v>
      </c>
      <c r="D13" s="19" t="s">
        <v>58</v>
      </c>
      <c r="E13" s="1" t="s">
        <v>78</v>
      </c>
      <c r="F13" s="10" t="s">
        <v>70</v>
      </c>
      <c r="G13" s="2"/>
      <c r="H13" s="18" t="s">
        <v>71</v>
      </c>
      <c r="I13" s="3"/>
      <c r="J13" s="3"/>
      <c r="K13" s="20" t="s">
        <v>44</v>
      </c>
      <c r="L13" s="10" t="s">
        <v>79</v>
      </c>
      <c r="Q13" s="11"/>
    </row>
    <row r="14" spans="1:36" ht="13.9">
      <c r="A14" s="12" t="s">
        <v>36</v>
      </c>
      <c r="B14" s="1" t="s">
        <v>80</v>
      </c>
      <c r="C14" s="1" t="s">
        <v>80</v>
      </c>
      <c r="D14" s="19" t="s">
        <v>58</v>
      </c>
      <c r="E14" s="1" t="s">
        <v>80</v>
      </c>
      <c r="F14" s="10" t="s">
        <v>70</v>
      </c>
      <c r="G14" s="2"/>
      <c r="H14" s="18" t="s">
        <v>71</v>
      </c>
      <c r="I14" s="3"/>
      <c r="J14" s="3"/>
      <c r="K14" s="20" t="s">
        <v>44</v>
      </c>
      <c r="L14" s="10" t="s">
        <v>81</v>
      </c>
      <c r="Q14" s="11"/>
    </row>
    <row r="15" spans="1:36" ht="13.9">
      <c r="A15" s="12" t="s">
        <v>36</v>
      </c>
      <c r="B15" s="1" t="s">
        <v>82</v>
      </c>
      <c r="C15" s="1" t="s">
        <v>82</v>
      </c>
      <c r="D15" s="19" t="s">
        <v>58</v>
      </c>
      <c r="E15" s="1" t="s">
        <v>82</v>
      </c>
      <c r="F15" s="10" t="s">
        <v>70</v>
      </c>
      <c r="G15" s="2"/>
      <c r="H15" s="18" t="s">
        <v>71</v>
      </c>
      <c r="I15" s="3"/>
      <c r="J15" s="3"/>
      <c r="K15" s="20" t="s">
        <v>44</v>
      </c>
      <c r="L15" s="10" t="s">
        <v>81</v>
      </c>
      <c r="Q15" s="11"/>
    </row>
    <row r="16" spans="1:36" ht="13.9">
      <c r="A16" s="12" t="s">
        <v>36</v>
      </c>
      <c r="B16" s="1" t="s">
        <v>83</v>
      </c>
      <c r="C16" s="1" t="s">
        <v>83</v>
      </c>
      <c r="D16" s="19" t="s">
        <v>58</v>
      </c>
      <c r="E16" s="1" t="s">
        <v>83</v>
      </c>
      <c r="F16" s="10" t="s">
        <v>70</v>
      </c>
      <c r="G16" s="2"/>
      <c r="H16" s="18" t="s">
        <v>71</v>
      </c>
      <c r="I16" s="3"/>
      <c r="J16" s="3"/>
      <c r="K16" s="20" t="s">
        <v>44</v>
      </c>
      <c r="L16" s="10" t="s">
        <v>81</v>
      </c>
      <c r="Q16" s="11"/>
    </row>
    <row r="17" spans="1:31" ht="13.9">
      <c r="A17" s="12" t="s">
        <v>36</v>
      </c>
      <c r="B17" s="1" t="s">
        <v>84</v>
      </c>
      <c r="C17" s="1" t="s">
        <v>84</v>
      </c>
      <c r="D17" s="19" t="s">
        <v>58</v>
      </c>
      <c r="E17" s="1" t="s">
        <v>84</v>
      </c>
      <c r="F17" s="10" t="s">
        <v>70</v>
      </c>
      <c r="G17" s="2"/>
      <c r="H17" s="18" t="s">
        <v>71</v>
      </c>
      <c r="I17" s="3"/>
      <c r="J17" s="3"/>
      <c r="K17" s="20" t="s">
        <v>44</v>
      </c>
      <c r="L17" s="10" t="s">
        <v>85</v>
      </c>
      <c r="Q17" s="11"/>
    </row>
    <row r="18" spans="1:31" ht="13.9">
      <c r="A18" s="12" t="s">
        <v>36</v>
      </c>
      <c r="B18" s="1" t="s">
        <v>86</v>
      </c>
      <c r="C18" s="1" t="s">
        <v>86</v>
      </c>
      <c r="D18" s="19" t="s">
        <v>58</v>
      </c>
      <c r="E18" s="1" t="s">
        <v>86</v>
      </c>
      <c r="F18" s="10" t="s">
        <v>70</v>
      </c>
      <c r="G18" s="2"/>
      <c r="H18" s="18" t="s">
        <v>71</v>
      </c>
      <c r="I18" s="3"/>
      <c r="J18" s="3"/>
      <c r="K18" s="20" t="s">
        <v>44</v>
      </c>
      <c r="L18" s="10" t="s">
        <v>81</v>
      </c>
      <c r="Q18" s="11"/>
    </row>
    <row r="19" spans="1:31" ht="13.9">
      <c r="A19" s="12" t="s">
        <v>36</v>
      </c>
      <c r="B19" s="1" t="s">
        <v>87</v>
      </c>
      <c r="C19" s="1" t="s">
        <v>87</v>
      </c>
      <c r="D19" s="19" t="s">
        <v>58</v>
      </c>
      <c r="E19" s="1" t="s">
        <v>87</v>
      </c>
      <c r="F19" s="10" t="s">
        <v>88</v>
      </c>
      <c r="G19" s="2"/>
      <c r="H19" s="18" t="s">
        <v>89</v>
      </c>
      <c r="I19" s="3"/>
      <c r="J19" s="3"/>
      <c r="K19" s="20" t="s">
        <v>44</v>
      </c>
      <c r="L19" s="10" t="s">
        <v>90</v>
      </c>
    </row>
    <row r="20" spans="1:31" ht="13.9">
      <c r="A20" s="12" t="s">
        <v>36</v>
      </c>
      <c r="B20" s="1" t="s">
        <v>91</v>
      </c>
      <c r="C20" s="1" t="s">
        <v>91</v>
      </c>
      <c r="D20" s="19" t="s">
        <v>58</v>
      </c>
      <c r="E20" s="1" t="s">
        <v>91</v>
      </c>
      <c r="F20" s="10" t="s">
        <v>88</v>
      </c>
      <c r="G20" s="2"/>
      <c r="H20" s="18" t="s">
        <v>89</v>
      </c>
      <c r="I20" s="3"/>
      <c r="J20" s="3"/>
      <c r="K20" s="20" t="s">
        <v>44</v>
      </c>
      <c r="L20" s="10" t="s">
        <v>92</v>
      </c>
    </row>
    <row r="21" spans="1:31" ht="13.9">
      <c r="A21" s="12" t="s">
        <v>36</v>
      </c>
      <c r="B21" s="1" t="s">
        <v>93</v>
      </c>
      <c r="C21" s="1" t="s">
        <v>93</v>
      </c>
      <c r="D21" s="19" t="s">
        <v>58</v>
      </c>
      <c r="E21" s="1" t="s">
        <v>93</v>
      </c>
      <c r="F21" s="10" t="s">
        <v>88</v>
      </c>
      <c r="G21" s="2"/>
      <c r="H21" s="18" t="s">
        <v>94</v>
      </c>
      <c r="I21" s="3"/>
      <c r="J21" s="3"/>
      <c r="K21" s="20" t="s">
        <v>44</v>
      </c>
      <c r="L21" s="10" t="s">
        <v>67</v>
      </c>
    </row>
    <row r="22" spans="1:31" ht="13.9">
      <c r="A22" s="12" t="s">
        <v>36</v>
      </c>
      <c r="B22" s="1" t="s">
        <v>95</v>
      </c>
      <c r="C22" s="1" t="s">
        <v>95</v>
      </c>
      <c r="D22" s="19" t="s">
        <v>58</v>
      </c>
      <c r="E22" s="1" t="s">
        <v>95</v>
      </c>
      <c r="F22" s="10" t="s">
        <v>96</v>
      </c>
      <c r="G22" s="2"/>
      <c r="H22" s="18" t="s">
        <v>97</v>
      </c>
      <c r="I22" s="3"/>
      <c r="J22" s="3"/>
      <c r="K22" s="20" t="s">
        <v>44</v>
      </c>
      <c r="L22" s="10" t="s">
        <v>98</v>
      </c>
    </row>
    <row r="23" spans="1:31" s="24" customFormat="1" ht="13.9">
      <c r="A23" s="22" t="s">
        <v>36</v>
      </c>
      <c r="B23" s="23" t="s">
        <v>99</v>
      </c>
      <c r="C23" s="23" t="s">
        <v>99</v>
      </c>
      <c r="D23" s="32" t="s">
        <v>58</v>
      </c>
      <c r="E23" s="23" t="s">
        <v>99</v>
      </c>
      <c r="F23" s="24" t="s">
        <v>96</v>
      </c>
      <c r="G23" s="25"/>
      <c r="H23" s="33" t="s">
        <v>97</v>
      </c>
      <c r="I23" s="26"/>
      <c r="J23" s="26"/>
      <c r="K23" s="34" t="s">
        <v>44</v>
      </c>
      <c r="L23" s="24" t="s">
        <v>100</v>
      </c>
      <c r="N23" s="24">
        <v>14</v>
      </c>
      <c r="O23" s="24">
        <v>0.45</v>
      </c>
      <c r="P23" s="24">
        <v>11.17</v>
      </c>
      <c r="R23" s="24" t="s">
        <v>101</v>
      </c>
      <c r="S23" s="24" t="s">
        <v>102</v>
      </c>
      <c r="T23" s="65">
        <v>2.6259999999999999</v>
      </c>
      <c r="U23" s="24">
        <v>0.33200000000000002</v>
      </c>
      <c r="V23" s="24">
        <v>4712</v>
      </c>
      <c r="X23" s="24">
        <v>99.9</v>
      </c>
      <c r="Y23" s="24">
        <v>12.4</v>
      </c>
      <c r="Z23" s="24">
        <v>2.4940000000000002</v>
      </c>
      <c r="AA23" s="24">
        <v>0.312</v>
      </c>
      <c r="AB23" s="24">
        <v>80.3</v>
      </c>
      <c r="AC23" s="24">
        <v>2.444</v>
      </c>
      <c r="AD23" s="24">
        <v>2.444</v>
      </c>
      <c r="AE23" s="24">
        <v>2.9279999999999999</v>
      </c>
    </row>
    <row r="24" spans="1:31" ht="13.9">
      <c r="A24" s="12" t="s">
        <v>36</v>
      </c>
      <c r="B24" s="1" t="s">
        <v>103</v>
      </c>
      <c r="C24" s="1" t="s">
        <v>103</v>
      </c>
      <c r="D24" s="19" t="s">
        <v>58</v>
      </c>
      <c r="E24" s="1" t="s">
        <v>103</v>
      </c>
      <c r="F24" s="10" t="s">
        <v>96</v>
      </c>
      <c r="G24" s="2"/>
      <c r="H24" s="18" t="s">
        <v>104</v>
      </c>
      <c r="I24" s="3"/>
      <c r="J24" s="3"/>
      <c r="K24" s="20" t="s">
        <v>44</v>
      </c>
      <c r="L24" s="10" t="s">
        <v>105</v>
      </c>
      <c r="Q24" s="11"/>
      <c r="S24" s="11"/>
    </row>
    <row r="25" spans="1:31" s="24" customFormat="1" ht="13.9">
      <c r="A25" s="22" t="s">
        <v>36</v>
      </c>
      <c r="B25" s="23" t="s">
        <v>106</v>
      </c>
      <c r="C25" s="23" t="s">
        <v>106</v>
      </c>
      <c r="D25" s="32" t="s">
        <v>58</v>
      </c>
      <c r="E25" s="23" t="s">
        <v>106</v>
      </c>
      <c r="F25" s="24" t="s">
        <v>96</v>
      </c>
      <c r="G25" s="25"/>
      <c r="H25" s="33" t="s">
        <v>107</v>
      </c>
      <c r="I25" s="26"/>
      <c r="J25" s="26"/>
      <c r="K25" s="34" t="s">
        <v>44</v>
      </c>
      <c r="L25" s="24" t="s">
        <v>108</v>
      </c>
      <c r="N25" s="24">
        <v>12</v>
      </c>
      <c r="O25" s="24">
        <v>1.3</v>
      </c>
      <c r="P25" s="24">
        <v>20.5</v>
      </c>
      <c r="Q25" s="24">
        <v>0</v>
      </c>
      <c r="R25" s="24" t="s">
        <v>109</v>
      </c>
      <c r="S25" s="24" t="s">
        <v>110</v>
      </c>
      <c r="T25" s="65">
        <v>2.302</v>
      </c>
      <c r="U25" s="24">
        <v>0.215</v>
      </c>
      <c r="V25" s="24">
        <v>6506</v>
      </c>
      <c r="X25" s="24">
        <v>97.1</v>
      </c>
      <c r="Y25" s="24">
        <v>10.199999999999999</v>
      </c>
      <c r="Z25" s="24">
        <v>2.0979999999999999</v>
      </c>
      <c r="AA25" s="24">
        <v>0.17799999999999999</v>
      </c>
      <c r="AB25" s="24">
        <v>64.900000000000006</v>
      </c>
      <c r="AC25" s="24">
        <v>2.0569999999999999</v>
      </c>
      <c r="AD25" s="24">
        <v>2.0569999999999999</v>
      </c>
      <c r="AE25" s="24">
        <v>3.0129999999999999</v>
      </c>
    </row>
    <row r="26" spans="1:31" ht="13.9">
      <c r="A26" s="12" t="s">
        <v>36</v>
      </c>
      <c r="B26" s="1" t="s">
        <v>111</v>
      </c>
      <c r="C26" s="1" t="s">
        <v>111</v>
      </c>
      <c r="D26" s="19" t="s">
        <v>58</v>
      </c>
      <c r="E26" s="1" t="s">
        <v>111</v>
      </c>
      <c r="F26" s="10" t="s">
        <v>96</v>
      </c>
      <c r="G26" s="2"/>
      <c r="H26" s="18" t="s">
        <v>107</v>
      </c>
      <c r="I26" s="3"/>
      <c r="J26" s="3"/>
      <c r="K26" s="20" t="s">
        <v>44</v>
      </c>
      <c r="L26" s="10" t="s">
        <v>112</v>
      </c>
      <c r="Q26" s="11"/>
    </row>
    <row r="27" spans="1:31" ht="13.9">
      <c r="A27" s="12" t="s">
        <v>36</v>
      </c>
      <c r="B27" s="1" t="s">
        <v>113</v>
      </c>
      <c r="C27" s="1" t="s">
        <v>113</v>
      </c>
      <c r="D27" s="19" t="s">
        <v>58</v>
      </c>
      <c r="E27" s="1" t="s">
        <v>113</v>
      </c>
      <c r="F27" s="10" t="s">
        <v>96</v>
      </c>
      <c r="G27" s="2"/>
      <c r="H27" s="18" t="s">
        <v>107</v>
      </c>
      <c r="I27" s="3"/>
      <c r="J27" s="3"/>
      <c r="K27" s="20" t="s">
        <v>44</v>
      </c>
      <c r="L27" s="10" t="s">
        <v>67</v>
      </c>
    </row>
    <row r="28" spans="1:31" ht="12.75">
      <c r="A28" s="12" t="s">
        <v>36</v>
      </c>
      <c r="B28" s="1" t="s">
        <v>114</v>
      </c>
      <c r="C28" s="1" t="s">
        <v>114</v>
      </c>
      <c r="D28" s="19" t="s">
        <v>58</v>
      </c>
      <c r="E28" s="1" t="s">
        <v>114</v>
      </c>
      <c r="F28" s="10" t="s">
        <v>96</v>
      </c>
      <c r="G28" s="2"/>
      <c r="H28" s="18" t="s">
        <v>107</v>
      </c>
      <c r="I28" s="3"/>
      <c r="J28" s="3"/>
      <c r="K28" s="20" t="s">
        <v>44</v>
      </c>
      <c r="L28" s="19" t="s">
        <v>115</v>
      </c>
    </row>
    <row r="29" spans="1:31" ht="12.75">
      <c r="A29" s="12" t="s">
        <v>36</v>
      </c>
      <c r="B29" s="1" t="s">
        <v>116</v>
      </c>
      <c r="C29" s="1" t="s">
        <v>116</v>
      </c>
      <c r="D29" s="19" t="s">
        <v>58</v>
      </c>
      <c r="E29" s="1" t="s">
        <v>116</v>
      </c>
      <c r="F29" s="10" t="s">
        <v>96</v>
      </c>
      <c r="G29" s="2"/>
      <c r="H29" s="18" t="s">
        <v>107</v>
      </c>
      <c r="I29" s="3"/>
      <c r="J29" s="3"/>
      <c r="K29" s="20" t="s">
        <v>44</v>
      </c>
      <c r="L29" s="10" t="s">
        <v>67</v>
      </c>
    </row>
    <row r="30" spans="1:31" ht="13.9">
      <c r="A30" s="12" t="s">
        <v>36</v>
      </c>
      <c r="B30" s="1" t="s">
        <v>117</v>
      </c>
      <c r="C30" s="1" t="s">
        <v>117</v>
      </c>
      <c r="D30" s="19" t="s">
        <v>41</v>
      </c>
      <c r="E30" s="1" t="s">
        <v>117</v>
      </c>
      <c r="F30" s="10" t="s">
        <v>96</v>
      </c>
      <c r="G30" s="2"/>
      <c r="H30" s="18" t="s">
        <v>118</v>
      </c>
      <c r="I30" s="3"/>
      <c r="J30" s="3"/>
      <c r="K30" s="20" t="s">
        <v>44</v>
      </c>
      <c r="L30" s="10" t="s">
        <v>67</v>
      </c>
    </row>
    <row r="31" spans="1:31" ht="13.9">
      <c r="A31" s="12" t="s">
        <v>36</v>
      </c>
      <c r="B31" s="1" t="s">
        <v>119</v>
      </c>
      <c r="C31" s="1" t="s">
        <v>119</v>
      </c>
      <c r="D31" s="19" t="s">
        <v>41</v>
      </c>
      <c r="E31" s="1" t="s">
        <v>119</v>
      </c>
      <c r="F31" s="10" t="s">
        <v>96</v>
      </c>
      <c r="G31" s="2"/>
      <c r="H31" s="18" t="s">
        <v>118</v>
      </c>
      <c r="I31" s="3"/>
      <c r="J31" s="3"/>
      <c r="K31" s="20" t="s">
        <v>44</v>
      </c>
      <c r="L31" s="10" t="s">
        <v>67</v>
      </c>
    </row>
    <row r="32" spans="1:31" ht="13.9">
      <c r="A32" s="12" t="s">
        <v>36</v>
      </c>
      <c r="B32" s="1" t="s">
        <v>120</v>
      </c>
      <c r="C32" s="1" t="s">
        <v>120</v>
      </c>
      <c r="D32" s="19" t="s">
        <v>41</v>
      </c>
      <c r="E32" s="1" t="s">
        <v>120</v>
      </c>
      <c r="F32" s="10" t="s">
        <v>96</v>
      </c>
      <c r="G32" s="2"/>
      <c r="H32" s="18" t="s">
        <v>118</v>
      </c>
      <c r="I32" s="3"/>
      <c r="J32" s="3"/>
      <c r="K32" s="20" t="s">
        <v>44</v>
      </c>
      <c r="L32" s="10" t="s">
        <v>67</v>
      </c>
    </row>
    <row r="33" spans="1:31" s="24" customFormat="1" ht="13.9">
      <c r="A33" s="22" t="s">
        <v>36</v>
      </c>
      <c r="B33" s="23" t="s">
        <v>121</v>
      </c>
      <c r="C33" s="23" t="s">
        <v>121</v>
      </c>
      <c r="D33" s="32" t="s">
        <v>41</v>
      </c>
      <c r="E33" s="23" t="s">
        <v>121</v>
      </c>
      <c r="F33" s="24" t="s">
        <v>96</v>
      </c>
      <c r="G33" s="25"/>
      <c r="H33" s="33" t="s">
        <v>118</v>
      </c>
      <c r="I33" s="26"/>
      <c r="J33" s="26"/>
      <c r="K33" s="34" t="s">
        <v>44</v>
      </c>
      <c r="L33" s="24" t="s">
        <v>122</v>
      </c>
      <c r="N33" s="24">
        <v>13</v>
      </c>
      <c r="O33" s="24">
        <v>2.5</v>
      </c>
      <c r="P33" s="24">
        <v>17.510000000000002</v>
      </c>
      <c r="Q33" s="24">
        <v>0</v>
      </c>
      <c r="R33" s="24" t="s">
        <v>73</v>
      </c>
      <c r="S33" s="24" t="s">
        <v>123</v>
      </c>
      <c r="T33" s="65">
        <v>2.4079999999999999</v>
      </c>
      <c r="U33" s="24">
        <v>0.26100000000000001</v>
      </c>
      <c r="V33" s="24">
        <v>6252</v>
      </c>
      <c r="X33" s="24">
        <v>100</v>
      </c>
      <c r="Y33" s="24">
        <v>9.1999999999999993</v>
      </c>
      <c r="Z33" s="24">
        <v>2.4350000000000001</v>
      </c>
      <c r="AA33" s="24">
        <v>0.20699999999999999</v>
      </c>
      <c r="AB33" s="24">
        <v>77.8</v>
      </c>
      <c r="AC33" s="24">
        <v>2.4020000000000001</v>
      </c>
      <c r="AD33" s="24">
        <v>2.4020000000000001</v>
      </c>
      <c r="AE33" s="24">
        <v>2.9620000000000002</v>
      </c>
    </row>
    <row r="34" spans="1:31" ht="13.9">
      <c r="A34" s="12" t="s">
        <v>36</v>
      </c>
      <c r="B34" s="1" t="s">
        <v>124</v>
      </c>
      <c r="C34" s="1" t="s">
        <v>124</v>
      </c>
      <c r="D34" s="19" t="s">
        <v>41</v>
      </c>
      <c r="E34" s="1" t="s">
        <v>124</v>
      </c>
      <c r="F34" s="10" t="s">
        <v>96</v>
      </c>
      <c r="G34" s="2"/>
      <c r="H34" s="18" t="s">
        <v>118</v>
      </c>
      <c r="I34" s="3"/>
      <c r="J34" s="3"/>
      <c r="K34" s="20" t="s">
        <v>44</v>
      </c>
      <c r="L34" s="10" t="s">
        <v>81</v>
      </c>
    </row>
    <row r="35" spans="1:31" s="24" customFormat="1" ht="13.9">
      <c r="A35" s="22" t="s">
        <v>36</v>
      </c>
      <c r="B35" s="23" t="s">
        <v>125</v>
      </c>
      <c r="C35" s="23" t="s">
        <v>125</v>
      </c>
      <c r="D35" s="32" t="s">
        <v>41</v>
      </c>
      <c r="E35" s="23" t="s">
        <v>125</v>
      </c>
      <c r="F35" s="24" t="s">
        <v>96</v>
      </c>
      <c r="G35" s="25"/>
      <c r="H35" s="33" t="s">
        <v>118</v>
      </c>
      <c r="I35" s="26"/>
      <c r="J35" s="26"/>
      <c r="K35" s="34" t="s">
        <v>44</v>
      </c>
      <c r="L35" s="24" t="s">
        <v>126</v>
      </c>
      <c r="N35" s="24">
        <v>17</v>
      </c>
      <c r="O35" s="24">
        <v>0.5</v>
      </c>
      <c r="P35" s="24">
        <v>36.520000000000003</v>
      </c>
      <c r="Q35" s="24">
        <v>0</v>
      </c>
      <c r="R35" s="24" t="s">
        <v>73</v>
      </c>
      <c r="S35" s="24" t="s">
        <v>127</v>
      </c>
      <c r="T35" s="65">
        <v>2.1440000000000001</v>
      </c>
      <c r="U35" s="24">
        <v>0.157</v>
      </c>
      <c r="V35" s="24">
        <v>8371</v>
      </c>
      <c r="X35" s="24">
        <v>95.4</v>
      </c>
      <c r="Y35" s="24">
        <v>10.3</v>
      </c>
      <c r="Z35" s="24">
        <v>2.048</v>
      </c>
      <c r="AA35" s="24">
        <v>0.11600000000000001</v>
      </c>
      <c r="AB35" s="24">
        <v>63.6</v>
      </c>
      <c r="AC35" s="24">
        <v>2.02</v>
      </c>
      <c r="AD35" s="24">
        <v>2.02</v>
      </c>
      <c r="AE35" s="24">
        <v>2.9529999999999998</v>
      </c>
    </row>
    <row r="36" spans="1:31" s="40" customFormat="1" ht="12.75">
      <c r="A36" s="57" t="s">
        <v>36</v>
      </c>
      <c r="B36" s="58" t="s">
        <v>128</v>
      </c>
      <c r="C36" s="58" t="s">
        <v>128</v>
      </c>
      <c r="D36" s="59" t="s">
        <v>41</v>
      </c>
      <c r="E36" s="58" t="s">
        <v>128</v>
      </c>
      <c r="F36" s="40" t="s">
        <v>96</v>
      </c>
      <c r="G36" s="60"/>
      <c r="H36" s="61" t="s">
        <v>118</v>
      </c>
      <c r="I36" s="62"/>
      <c r="J36" s="62"/>
      <c r="K36" s="63" t="s">
        <v>44</v>
      </c>
      <c r="L36" s="40" t="s">
        <v>129</v>
      </c>
      <c r="N36" s="40">
        <v>37</v>
      </c>
      <c r="O36" s="40">
        <v>0.25</v>
      </c>
      <c r="P36" s="40">
        <v>46.22</v>
      </c>
      <c r="R36" s="40" t="s">
        <v>109</v>
      </c>
      <c r="S36" s="40" t="s">
        <v>130</v>
      </c>
      <c r="T36" s="66">
        <v>2.0099999999999998</v>
      </c>
      <c r="U36" s="40">
        <v>7.0000000000000007E-2</v>
      </c>
      <c r="V36" s="40">
        <v>10192</v>
      </c>
      <c r="X36" s="40">
        <v>95.5</v>
      </c>
      <c r="Y36" s="40">
        <v>10.4</v>
      </c>
      <c r="Z36" s="40">
        <v>2.008</v>
      </c>
      <c r="AA36" s="40">
        <v>0.06</v>
      </c>
      <c r="AB36" s="40">
        <v>74.5</v>
      </c>
      <c r="AC36" s="40">
        <v>1.9590000000000001</v>
      </c>
      <c r="AD36" s="40">
        <v>1.9590000000000001</v>
      </c>
      <c r="AE36" s="40">
        <v>2.5419999999999998</v>
      </c>
    </row>
    <row r="37" spans="1:31" s="24" customFormat="1" ht="12.75">
      <c r="A37" s="22"/>
      <c r="B37" s="23"/>
      <c r="C37" s="23"/>
      <c r="D37" s="32"/>
      <c r="E37" s="23"/>
      <c r="G37" s="25"/>
      <c r="H37" s="33"/>
      <c r="I37" s="26"/>
      <c r="J37" s="26"/>
      <c r="K37" s="34"/>
      <c r="T37" s="65"/>
    </row>
    <row r="38" spans="1:31" ht="13.9">
      <c r="A38" s="12" t="s">
        <v>36</v>
      </c>
      <c r="B38" s="1" t="s">
        <v>131</v>
      </c>
      <c r="C38" s="1" t="s">
        <v>131</v>
      </c>
      <c r="D38" s="19" t="s">
        <v>58</v>
      </c>
      <c r="E38" s="1" t="s">
        <v>131</v>
      </c>
      <c r="F38" s="10" t="s">
        <v>88</v>
      </c>
      <c r="G38" s="2"/>
      <c r="H38" s="18" t="s">
        <v>132</v>
      </c>
      <c r="I38" s="3"/>
      <c r="J38" s="3"/>
      <c r="K38" s="20" t="s">
        <v>44</v>
      </c>
      <c r="L38" s="10" t="s">
        <v>67</v>
      </c>
    </row>
    <row r="39" spans="1:31" ht="13.9">
      <c r="A39" s="12" t="s">
        <v>36</v>
      </c>
      <c r="B39" s="1" t="s">
        <v>133</v>
      </c>
      <c r="C39" s="1" t="s">
        <v>133</v>
      </c>
      <c r="D39" s="19" t="s">
        <v>58</v>
      </c>
      <c r="E39" s="1" t="s">
        <v>133</v>
      </c>
      <c r="F39" s="10" t="s">
        <v>88</v>
      </c>
      <c r="G39" s="2"/>
      <c r="H39" s="18" t="s">
        <v>132</v>
      </c>
      <c r="I39" s="3"/>
      <c r="J39" s="3"/>
      <c r="K39" s="20" t="s">
        <v>44</v>
      </c>
      <c r="L39" s="10" t="s">
        <v>134</v>
      </c>
      <c r="Q39" s="11"/>
    </row>
    <row r="40" spans="1:31" ht="13.9">
      <c r="A40" s="12" t="s">
        <v>36</v>
      </c>
      <c r="B40" s="1" t="s">
        <v>135</v>
      </c>
      <c r="C40" s="1" t="s">
        <v>135</v>
      </c>
      <c r="D40" s="19" t="s">
        <v>58</v>
      </c>
      <c r="E40" s="1" t="s">
        <v>135</v>
      </c>
      <c r="F40" s="10" t="s">
        <v>88</v>
      </c>
      <c r="G40" s="2"/>
      <c r="H40" s="18" t="s">
        <v>136</v>
      </c>
      <c r="I40" s="3"/>
      <c r="J40" s="3"/>
      <c r="K40" s="20" t="s">
        <v>44</v>
      </c>
      <c r="L40" s="10" t="s">
        <v>67</v>
      </c>
      <c r="Q40" s="11"/>
    </row>
    <row r="41" spans="1:31" ht="13.9">
      <c r="A41" s="12" t="s">
        <v>36</v>
      </c>
      <c r="B41" s="1" t="s">
        <v>137</v>
      </c>
      <c r="C41" s="1" t="s">
        <v>137</v>
      </c>
      <c r="D41" s="19" t="s">
        <v>58</v>
      </c>
      <c r="E41" s="1" t="s">
        <v>137</v>
      </c>
      <c r="F41" s="10" t="s">
        <v>88</v>
      </c>
      <c r="G41" s="2"/>
      <c r="H41" s="18" t="s">
        <v>136</v>
      </c>
      <c r="I41" s="3"/>
      <c r="J41" s="3"/>
      <c r="K41" s="20" t="s">
        <v>44</v>
      </c>
      <c r="L41" s="10" t="s">
        <v>138</v>
      </c>
      <c r="Q41" s="11"/>
    </row>
    <row r="42" spans="1:31" ht="13.9">
      <c r="A42" s="12" t="s">
        <v>36</v>
      </c>
      <c r="B42" s="1" t="s">
        <v>139</v>
      </c>
      <c r="C42" s="1" t="s">
        <v>139</v>
      </c>
      <c r="D42" s="19" t="s">
        <v>58</v>
      </c>
      <c r="E42" s="1" t="s">
        <v>139</v>
      </c>
      <c r="F42" s="10" t="s">
        <v>88</v>
      </c>
      <c r="G42" s="2"/>
      <c r="H42" s="18" t="s">
        <v>136</v>
      </c>
      <c r="I42" s="3"/>
      <c r="J42" s="3"/>
      <c r="K42" s="20" t="s">
        <v>44</v>
      </c>
      <c r="L42" s="10" t="s">
        <v>140</v>
      </c>
      <c r="Q42" s="11"/>
    </row>
    <row r="43" spans="1:31" s="24" customFormat="1" ht="12.75">
      <c r="A43" s="22" t="s">
        <v>36</v>
      </c>
      <c r="B43" s="23" t="s">
        <v>141</v>
      </c>
      <c r="C43" s="23" t="s">
        <v>141</v>
      </c>
      <c r="D43" s="32" t="s">
        <v>58</v>
      </c>
      <c r="E43" s="23" t="s">
        <v>141</v>
      </c>
      <c r="F43" s="24" t="s">
        <v>142</v>
      </c>
      <c r="G43" s="25"/>
      <c r="H43" s="33" t="s">
        <v>143</v>
      </c>
      <c r="I43" s="25"/>
      <c r="J43" s="25"/>
      <c r="K43" s="34" t="s">
        <v>44</v>
      </c>
      <c r="L43" s="24" t="s">
        <v>144</v>
      </c>
      <c r="M43" s="40" t="s">
        <v>145</v>
      </c>
      <c r="Q43" s="28"/>
      <c r="T43" s="65"/>
    </row>
    <row r="44" spans="1:31" ht="12.75">
      <c r="A44" s="12" t="s">
        <v>36</v>
      </c>
      <c r="B44" s="1" t="s">
        <v>146</v>
      </c>
      <c r="C44" s="1" t="s">
        <v>146</v>
      </c>
      <c r="D44" s="19" t="s">
        <v>58</v>
      </c>
      <c r="E44" s="1" t="s">
        <v>146</v>
      </c>
      <c r="F44" s="10" t="s">
        <v>142</v>
      </c>
      <c r="G44" s="2"/>
      <c r="H44" s="18" t="s">
        <v>143</v>
      </c>
      <c r="I44" s="3"/>
      <c r="J44" s="3"/>
      <c r="K44" s="20" t="s">
        <v>44</v>
      </c>
      <c r="L44" s="19" t="s">
        <v>147</v>
      </c>
      <c r="Q44" s="11"/>
    </row>
    <row r="45" spans="1:31" ht="13.9">
      <c r="A45" s="12" t="s">
        <v>36</v>
      </c>
      <c r="B45" s="1" t="s">
        <v>148</v>
      </c>
      <c r="C45" s="1" t="s">
        <v>148</v>
      </c>
      <c r="D45" s="19" t="s">
        <v>58</v>
      </c>
      <c r="E45" s="1" t="s">
        <v>148</v>
      </c>
      <c r="F45" s="10" t="s">
        <v>142</v>
      </c>
      <c r="G45" s="2"/>
      <c r="H45" s="18" t="s">
        <v>143</v>
      </c>
      <c r="I45" s="2"/>
      <c r="J45" s="2"/>
      <c r="K45" s="20" t="s">
        <v>44</v>
      </c>
      <c r="L45" s="10" t="s">
        <v>149</v>
      </c>
      <c r="Q45" s="11"/>
    </row>
    <row r="46" spans="1:31" ht="13.9">
      <c r="A46" s="12" t="s">
        <v>36</v>
      </c>
      <c r="B46" s="1" t="s">
        <v>150</v>
      </c>
      <c r="C46" s="1" t="s">
        <v>150</v>
      </c>
      <c r="D46" s="19" t="s">
        <v>58</v>
      </c>
      <c r="E46" s="1" t="s">
        <v>150</v>
      </c>
      <c r="F46" s="10" t="s">
        <v>142</v>
      </c>
      <c r="G46" s="2"/>
      <c r="H46" s="18" t="s">
        <v>143</v>
      </c>
      <c r="I46" s="3"/>
      <c r="J46" s="3"/>
      <c r="K46" s="20" t="s">
        <v>44</v>
      </c>
      <c r="L46" s="10" t="s">
        <v>151</v>
      </c>
      <c r="Q46" s="11"/>
    </row>
    <row r="47" spans="1:31" ht="13.9">
      <c r="A47" s="12" t="s">
        <v>36</v>
      </c>
      <c r="B47" s="1" t="s">
        <v>152</v>
      </c>
      <c r="C47" s="1" t="s">
        <v>152</v>
      </c>
      <c r="D47" s="19" t="s">
        <v>58</v>
      </c>
      <c r="E47" s="1" t="s">
        <v>152</v>
      </c>
      <c r="F47" s="10" t="s">
        <v>142</v>
      </c>
      <c r="G47" s="2"/>
      <c r="H47" s="18" t="s">
        <v>143</v>
      </c>
      <c r="I47" s="3"/>
      <c r="J47" s="3"/>
      <c r="K47" s="20" t="s">
        <v>44</v>
      </c>
      <c r="L47" s="10" t="s">
        <v>153</v>
      </c>
      <c r="Q47" s="11"/>
    </row>
    <row r="48" spans="1:31" ht="13.9">
      <c r="A48" s="12" t="s">
        <v>36</v>
      </c>
      <c r="B48" s="1" t="s">
        <v>154</v>
      </c>
      <c r="C48" s="1" t="s">
        <v>154</v>
      </c>
      <c r="D48" s="19" t="s">
        <v>41</v>
      </c>
      <c r="E48" s="1" t="s">
        <v>154</v>
      </c>
      <c r="F48" s="10" t="s">
        <v>96</v>
      </c>
      <c r="G48" s="2"/>
      <c r="H48" s="18" t="s">
        <v>155</v>
      </c>
      <c r="I48" s="3"/>
      <c r="J48" s="3"/>
      <c r="K48" s="20" t="s">
        <v>44</v>
      </c>
      <c r="L48" s="10" t="s">
        <v>156</v>
      </c>
      <c r="Q48" s="11"/>
    </row>
    <row r="49" spans="1:31" ht="13.9">
      <c r="A49" s="12" t="s">
        <v>36</v>
      </c>
      <c r="B49" s="1" t="s">
        <v>157</v>
      </c>
      <c r="C49" s="1" t="s">
        <v>157</v>
      </c>
      <c r="D49" s="19" t="s">
        <v>41</v>
      </c>
      <c r="E49" s="1" t="s">
        <v>157</v>
      </c>
      <c r="F49" s="10" t="s">
        <v>96</v>
      </c>
      <c r="G49" s="2"/>
      <c r="H49" s="18" t="s">
        <v>155</v>
      </c>
      <c r="I49" s="3"/>
      <c r="J49" s="3"/>
      <c r="K49" s="20" t="s">
        <v>44</v>
      </c>
      <c r="L49" s="10" t="s">
        <v>158</v>
      </c>
      <c r="Q49" s="11"/>
    </row>
    <row r="50" spans="1:31" s="24" customFormat="1" ht="13.9">
      <c r="A50" s="22" t="s">
        <v>36</v>
      </c>
      <c r="B50" s="23" t="s">
        <v>159</v>
      </c>
      <c r="C50" s="23" t="s">
        <v>159</v>
      </c>
      <c r="D50" s="32" t="s">
        <v>58</v>
      </c>
      <c r="E50" s="23" t="s">
        <v>159</v>
      </c>
      <c r="F50" s="24" t="s">
        <v>70</v>
      </c>
      <c r="G50" s="25"/>
      <c r="H50" s="33" t="s">
        <v>71</v>
      </c>
      <c r="I50" s="26"/>
      <c r="J50" s="26"/>
      <c r="K50" s="34" t="s">
        <v>44</v>
      </c>
      <c r="L50" s="24" t="s">
        <v>160</v>
      </c>
      <c r="N50" s="24">
        <v>48</v>
      </c>
      <c r="O50" s="24">
        <v>1.3</v>
      </c>
      <c r="P50" s="24">
        <v>12.64</v>
      </c>
      <c r="Q50" s="28"/>
      <c r="R50" s="24" t="s">
        <v>109</v>
      </c>
      <c r="S50" s="24" t="s">
        <v>161</v>
      </c>
      <c r="T50" s="65">
        <v>2.0049999999999999</v>
      </c>
      <c r="U50" s="24">
        <v>0.157</v>
      </c>
      <c r="V50" s="24">
        <v>17393</v>
      </c>
      <c r="X50" s="24">
        <v>88.4</v>
      </c>
      <c r="Y50" s="24">
        <v>6.2</v>
      </c>
      <c r="Z50" s="24">
        <v>1.972</v>
      </c>
      <c r="AA50" s="24">
        <v>0.157</v>
      </c>
      <c r="AB50" s="24">
        <v>72.599999999999994</v>
      </c>
      <c r="AC50" s="24">
        <v>2.117</v>
      </c>
      <c r="AD50" s="24">
        <v>2.117</v>
      </c>
      <c r="AE50" s="24">
        <v>2.004</v>
      </c>
    </row>
    <row r="51" spans="1:31" ht="13.9">
      <c r="A51" s="12" t="s">
        <v>36</v>
      </c>
      <c r="B51" s="1" t="s">
        <v>162</v>
      </c>
      <c r="C51" s="1" t="s">
        <v>162</v>
      </c>
      <c r="D51" s="19" t="s">
        <v>58</v>
      </c>
      <c r="E51" s="1" t="s">
        <v>162</v>
      </c>
      <c r="F51" s="10" t="s">
        <v>70</v>
      </c>
      <c r="G51" s="2"/>
      <c r="H51" s="18" t="s">
        <v>71</v>
      </c>
      <c r="I51" s="3"/>
      <c r="J51" s="3"/>
      <c r="K51" s="20" t="s">
        <v>44</v>
      </c>
      <c r="L51" s="10" t="s">
        <v>163</v>
      </c>
      <c r="Q51" s="11"/>
    </row>
    <row r="52" spans="1:31" ht="13.9">
      <c r="A52" s="12" t="s">
        <v>36</v>
      </c>
      <c r="B52" s="1" t="s">
        <v>164</v>
      </c>
      <c r="C52" s="1" t="s">
        <v>164</v>
      </c>
      <c r="D52" s="19" t="s">
        <v>58</v>
      </c>
      <c r="E52" s="1" t="s">
        <v>164</v>
      </c>
      <c r="F52" s="10" t="s">
        <v>70</v>
      </c>
      <c r="G52" s="2"/>
      <c r="H52" s="18" t="s">
        <v>165</v>
      </c>
      <c r="I52" s="3"/>
      <c r="J52" s="3"/>
      <c r="K52" s="20" t="s">
        <v>44</v>
      </c>
      <c r="L52" s="10" t="s">
        <v>166</v>
      </c>
      <c r="Q52" s="11"/>
    </row>
    <row r="53" spans="1:31" s="24" customFormat="1">
      <c r="A53" s="22" t="s">
        <v>36</v>
      </c>
      <c r="B53" s="23" t="s">
        <v>167</v>
      </c>
      <c r="C53" s="23" t="s">
        <v>167</v>
      </c>
      <c r="D53" s="24" t="s">
        <v>168</v>
      </c>
      <c r="E53" s="23" t="s">
        <v>167</v>
      </c>
      <c r="F53" s="24" t="s">
        <v>169</v>
      </c>
      <c r="G53" s="25"/>
      <c r="H53" s="24" t="s">
        <v>170</v>
      </c>
      <c r="I53" s="26"/>
      <c r="J53" s="26"/>
      <c r="K53" s="30" t="s">
        <v>44</v>
      </c>
      <c r="L53" s="24" t="s">
        <v>171</v>
      </c>
      <c r="N53" s="24">
        <v>92</v>
      </c>
      <c r="O53" s="24">
        <v>0.22500000000000001</v>
      </c>
      <c r="P53" s="24">
        <v>18.829999999999998</v>
      </c>
      <c r="Q53" s="28"/>
      <c r="R53" s="24" t="s">
        <v>172</v>
      </c>
      <c r="S53" s="24" t="s">
        <v>173</v>
      </c>
      <c r="T53" s="65">
        <v>1.0389999999999999</v>
      </c>
      <c r="U53" s="24">
        <v>5.2999999999999999E-2</v>
      </c>
      <c r="V53" s="24">
        <v>48349</v>
      </c>
      <c r="X53" s="24">
        <v>85.6</v>
      </c>
      <c r="Y53" s="24">
        <v>11.4</v>
      </c>
      <c r="Z53" s="24">
        <v>1.0389999999999999</v>
      </c>
      <c r="AA53" s="24">
        <v>5.2999999999999999E-2</v>
      </c>
      <c r="AB53" s="24">
        <v>85.6</v>
      </c>
      <c r="AC53" s="24">
        <v>1.0489999999999999</v>
      </c>
      <c r="AD53" s="24">
        <v>1.0489999999999999</v>
      </c>
      <c r="AE53" s="24">
        <v>1.0149999999999999</v>
      </c>
    </row>
    <row r="54" spans="1:31" s="24" customFormat="1">
      <c r="A54" s="22" t="s">
        <v>36</v>
      </c>
      <c r="B54" s="23" t="s">
        <v>174</v>
      </c>
      <c r="C54" s="23" t="s">
        <v>174</v>
      </c>
      <c r="D54" s="24" t="s">
        <v>168</v>
      </c>
      <c r="E54" s="23" t="s">
        <v>174</v>
      </c>
      <c r="F54" s="24" t="s">
        <v>169</v>
      </c>
      <c r="G54" s="25"/>
      <c r="H54" s="24" t="s">
        <v>170</v>
      </c>
      <c r="I54" s="26"/>
      <c r="J54" s="26"/>
      <c r="K54" s="30" t="s">
        <v>44</v>
      </c>
      <c r="L54" s="24" t="s">
        <v>175</v>
      </c>
      <c r="N54" s="24">
        <v>85</v>
      </c>
      <c r="O54" s="24">
        <v>0.21</v>
      </c>
      <c r="P54" s="24">
        <v>21.77</v>
      </c>
      <c r="Q54" s="28"/>
      <c r="R54" s="24" t="s">
        <v>172</v>
      </c>
      <c r="S54" s="24" t="s">
        <v>176</v>
      </c>
      <c r="T54" s="65">
        <v>1.04</v>
      </c>
      <c r="U54" s="24">
        <v>5.2999999999999999E-2</v>
      </c>
      <c r="V54" s="24">
        <v>44638</v>
      </c>
      <c r="X54" s="24">
        <v>79.099999999999994</v>
      </c>
      <c r="Y54" s="24">
        <v>10.5</v>
      </c>
      <c r="Z54" s="24">
        <v>1.0409999999999999</v>
      </c>
      <c r="AA54" s="24">
        <v>5.2999999999999999E-2</v>
      </c>
      <c r="AB54" s="24">
        <v>78.5</v>
      </c>
      <c r="AC54" s="24">
        <v>1.0580000000000001</v>
      </c>
      <c r="AD54" s="24">
        <v>1.0580000000000001</v>
      </c>
      <c r="AE54" s="24">
        <v>1.0309999999999999</v>
      </c>
    </row>
    <row r="55" spans="1:31" s="24" customFormat="1">
      <c r="A55" s="22" t="s">
        <v>36</v>
      </c>
      <c r="B55" s="23" t="s">
        <v>177</v>
      </c>
      <c r="C55" s="23" t="s">
        <v>177</v>
      </c>
      <c r="D55" s="24" t="s">
        <v>168</v>
      </c>
      <c r="E55" s="23" t="s">
        <v>177</v>
      </c>
      <c r="F55" s="24" t="s">
        <v>169</v>
      </c>
      <c r="G55" s="25"/>
      <c r="H55" s="24" t="s">
        <v>170</v>
      </c>
      <c r="I55" s="26"/>
      <c r="J55" s="26"/>
      <c r="K55" s="30" t="s">
        <v>44</v>
      </c>
      <c r="L55" s="24" t="s">
        <v>178</v>
      </c>
      <c r="N55" s="24">
        <v>97</v>
      </c>
      <c r="O55" s="24">
        <v>0.27500000000000002</v>
      </c>
      <c r="P55" s="24">
        <v>19.84</v>
      </c>
      <c r="Q55" s="28"/>
      <c r="R55" s="24" t="s">
        <v>172</v>
      </c>
      <c r="S55" s="24" t="s">
        <v>179</v>
      </c>
      <c r="T55" s="65">
        <v>1.0369999999999999</v>
      </c>
      <c r="U55" s="24">
        <v>5.3999999999999999E-2</v>
      </c>
      <c r="V55" s="24">
        <v>51153</v>
      </c>
      <c r="X55" s="24">
        <v>90.7</v>
      </c>
      <c r="Y55" s="24">
        <v>10.7</v>
      </c>
      <c r="Z55" s="24">
        <v>1.0369999999999999</v>
      </c>
      <c r="AA55" s="24">
        <v>5.3999999999999999E-2</v>
      </c>
      <c r="AB55" s="24">
        <v>90.3</v>
      </c>
      <c r="AC55" s="24">
        <v>1.0469999999999999</v>
      </c>
      <c r="AD55" s="24">
        <v>1.0469999999999999</v>
      </c>
      <c r="AE55" s="24">
        <v>1.012</v>
      </c>
    </row>
    <row r="56" spans="1:31" s="24" customFormat="1" ht="12.75">
      <c r="A56" s="22" t="s">
        <v>36</v>
      </c>
      <c r="B56" s="23" t="s">
        <v>180</v>
      </c>
      <c r="C56" s="23" t="s">
        <v>180</v>
      </c>
      <c r="D56" s="24" t="s">
        <v>168</v>
      </c>
      <c r="E56" s="23" t="s">
        <v>180</v>
      </c>
      <c r="F56" s="24" t="s">
        <v>169</v>
      </c>
      <c r="G56" s="25"/>
      <c r="H56" s="24" t="s">
        <v>170</v>
      </c>
      <c r="I56" s="26"/>
      <c r="J56" s="26"/>
      <c r="K56" s="30" t="s">
        <v>44</v>
      </c>
      <c r="L56" s="24" t="s">
        <v>181</v>
      </c>
      <c r="M56" s="40" t="s">
        <v>182</v>
      </c>
      <c r="Q56" s="28"/>
      <c r="T56" s="65"/>
    </row>
    <row r="57" spans="1:31">
      <c r="A57" s="12" t="s">
        <v>36</v>
      </c>
      <c r="B57" s="1" t="s">
        <v>183</v>
      </c>
      <c r="C57" s="1" t="s">
        <v>183</v>
      </c>
      <c r="D57" s="10" t="s">
        <v>184</v>
      </c>
      <c r="E57" s="1" t="s">
        <v>183</v>
      </c>
      <c r="F57" s="10" t="s">
        <v>169</v>
      </c>
      <c r="G57" s="2"/>
      <c r="H57" s="10" t="s">
        <v>185</v>
      </c>
      <c r="I57" s="3"/>
      <c r="J57" s="3"/>
      <c r="K57" s="4" t="s">
        <v>64</v>
      </c>
      <c r="L57" s="10" t="s">
        <v>67</v>
      </c>
      <c r="Q57" s="11"/>
    </row>
    <row r="58" spans="1:31" s="24" customFormat="1">
      <c r="A58" s="22" t="s">
        <v>36</v>
      </c>
      <c r="B58" s="23" t="s">
        <v>186</v>
      </c>
      <c r="C58" s="23" t="s">
        <v>186</v>
      </c>
      <c r="D58" s="24" t="s">
        <v>168</v>
      </c>
      <c r="E58" s="23" t="s">
        <v>186</v>
      </c>
      <c r="F58" s="24" t="s">
        <v>169</v>
      </c>
      <c r="G58" s="25"/>
      <c r="H58" s="24" t="s">
        <v>170</v>
      </c>
      <c r="I58" s="26"/>
      <c r="J58" s="26"/>
      <c r="K58" s="30" t="s">
        <v>64</v>
      </c>
      <c r="L58" s="24" t="s">
        <v>76</v>
      </c>
      <c r="N58" s="24">
        <v>94</v>
      </c>
      <c r="O58" s="24">
        <v>0.22</v>
      </c>
      <c r="P58" s="24">
        <v>27.81</v>
      </c>
      <c r="Q58" s="28"/>
      <c r="R58" s="24" t="s">
        <v>172</v>
      </c>
      <c r="S58" s="24" t="s">
        <v>187</v>
      </c>
      <c r="T58" s="65">
        <v>0.997</v>
      </c>
      <c r="U58" s="24">
        <v>7.0000000000000007E-2</v>
      </c>
      <c r="V58" s="24">
        <v>58649</v>
      </c>
      <c r="X58" s="24">
        <v>92.9</v>
      </c>
      <c r="Y58" s="24">
        <v>12.6</v>
      </c>
      <c r="Z58" s="24">
        <v>1.0009999999999999</v>
      </c>
      <c r="AA58" s="24">
        <v>6.6000000000000003E-2</v>
      </c>
      <c r="AB58" s="24">
        <v>85</v>
      </c>
      <c r="AC58" s="24">
        <v>1.016</v>
      </c>
      <c r="AD58" s="24">
        <v>1.016</v>
      </c>
      <c r="AE58" s="24">
        <v>1.0189999999999999</v>
      </c>
    </row>
    <row r="59" spans="1:31">
      <c r="A59" s="12" t="s">
        <v>36</v>
      </c>
      <c r="B59" s="1" t="s">
        <v>188</v>
      </c>
      <c r="C59" s="1" t="s">
        <v>188</v>
      </c>
      <c r="D59" s="10" t="s">
        <v>184</v>
      </c>
      <c r="E59" s="1" t="s">
        <v>188</v>
      </c>
      <c r="F59" s="10" t="s">
        <v>169</v>
      </c>
      <c r="G59" s="2"/>
      <c r="H59" s="10" t="s">
        <v>189</v>
      </c>
      <c r="I59" s="3"/>
      <c r="J59" s="3"/>
      <c r="K59" s="15" t="s">
        <v>64</v>
      </c>
      <c r="L59" s="10" t="s">
        <v>190</v>
      </c>
      <c r="Q59" s="11"/>
    </row>
    <row r="60" spans="1:31">
      <c r="A60" s="12" t="s">
        <v>36</v>
      </c>
      <c r="B60" s="1" t="s">
        <v>191</v>
      </c>
      <c r="C60" s="1" t="s">
        <v>191</v>
      </c>
      <c r="D60" s="10" t="s">
        <v>184</v>
      </c>
      <c r="E60" s="1" t="s">
        <v>191</v>
      </c>
      <c r="F60" s="10" t="s">
        <v>169</v>
      </c>
      <c r="G60" s="2"/>
      <c r="H60" s="10" t="s">
        <v>189</v>
      </c>
      <c r="I60" s="3"/>
      <c r="J60" s="3"/>
      <c r="K60" s="15" t="s">
        <v>64</v>
      </c>
      <c r="L60" s="10" t="s">
        <v>190</v>
      </c>
      <c r="Q60" s="11"/>
    </row>
    <row r="61" spans="1:31" s="24" customFormat="1">
      <c r="A61" s="22" t="s">
        <v>36</v>
      </c>
      <c r="B61" s="23" t="s">
        <v>192</v>
      </c>
      <c r="C61" s="23" t="s">
        <v>192</v>
      </c>
      <c r="D61" s="24" t="s">
        <v>184</v>
      </c>
      <c r="E61" s="23" t="s">
        <v>192</v>
      </c>
      <c r="F61" s="24" t="s">
        <v>169</v>
      </c>
      <c r="G61" s="25"/>
      <c r="H61" s="24" t="s">
        <v>193</v>
      </c>
      <c r="I61" s="26"/>
      <c r="J61" s="26"/>
      <c r="K61" s="27" t="s">
        <v>44</v>
      </c>
      <c r="L61" s="24" t="s">
        <v>194</v>
      </c>
      <c r="N61" s="24">
        <v>37</v>
      </c>
      <c r="O61" s="24">
        <v>1</v>
      </c>
      <c r="P61" s="24">
        <v>14.57</v>
      </c>
      <c r="Q61" s="28"/>
      <c r="R61" s="24" t="s">
        <v>172</v>
      </c>
      <c r="S61" s="24" t="s">
        <v>195</v>
      </c>
      <c r="T61" s="65">
        <v>1.1160000000000001</v>
      </c>
      <c r="U61" s="24">
        <v>9.9000000000000005E-2</v>
      </c>
      <c r="V61" s="24">
        <v>39124</v>
      </c>
      <c r="X61" s="24">
        <v>85.1</v>
      </c>
      <c r="Y61" s="24">
        <v>8.4</v>
      </c>
      <c r="Z61" s="24">
        <v>1.1160000000000001</v>
      </c>
      <c r="AA61" s="24">
        <v>9.9000000000000005E-2</v>
      </c>
      <c r="AB61" s="24">
        <v>84.4</v>
      </c>
      <c r="AC61" s="24">
        <v>1.137</v>
      </c>
      <c r="AD61" s="24">
        <v>1.137</v>
      </c>
      <c r="AE61" s="24">
        <v>1.1120000000000001</v>
      </c>
    </row>
    <row r="62" spans="1:31" s="24" customFormat="1">
      <c r="A62" s="22" t="s">
        <v>36</v>
      </c>
      <c r="B62" s="23" t="s">
        <v>196</v>
      </c>
      <c r="C62" s="23" t="s">
        <v>196</v>
      </c>
      <c r="D62" s="24" t="s">
        <v>184</v>
      </c>
      <c r="E62" s="23" t="s">
        <v>196</v>
      </c>
      <c r="F62" s="24" t="s">
        <v>169</v>
      </c>
      <c r="G62" s="25"/>
      <c r="H62" s="24" t="s">
        <v>193</v>
      </c>
      <c r="I62" s="26"/>
      <c r="J62" s="26"/>
      <c r="K62" s="27" t="s">
        <v>44</v>
      </c>
      <c r="L62" s="24" t="s">
        <v>194</v>
      </c>
      <c r="N62" s="24">
        <v>83</v>
      </c>
      <c r="O62" s="24">
        <v>0.25</v>
      </c>
      <c r="P62" s="24">
        <v>16.21</v>
      </c>
      <c r="Q62" s="28"/>
      <c r="R62" s="24" t="s">
        <v>172</v>
      </c>
      <c r="S62" s="24" t="s">
        <v>197</v>
      </c>
      <c r="T62" s="65">
        <v>1.117</v>
      </c>
      <c r="U62" s="24">
        <v>6.8000000000000005E-2</v>
      </c>
      <c r="V62" s="24">
        <v>41059</v>
      </c>
      <c r="X62" s="24">
        <v>89.8</v>
      </c>
      <c r="Y62" s="24">
        <v>10.6</v>
      </c>
      <c r="Z62" s="24">
        <v>1.113</v>
      </c>
      <c r="AA62" s="24">
        <v>6.8000000000000005E-2</v>
      </c>
      <c r="AB62" s="24">
        <v>88.8</v>
      </c>
      <c r="AC62" s="24">
        <v>1.1140000000000001</v>
      </c>
      <c r="AD62" s="24">
        <v>1.1140000000000001</v>
      </c>
      <c r="AE62" s="24">
        <v>1.0740000000000001</v>
      </c>
    </row>
    <row r="63" spans="1:31">
      <c r="A63" s="12" t="s">
        <v>36</v>
      </c>
      <c r="B63" s="1" t="s">
        <v>198</v>
      </c>
      <c r="C63" s="1" t="s">
        <v>198</v>
      </c>
      <c r="D63" s="10" t="s">
        <v>199</v>
      </c>
      <c r="E63" s="1" t="s">
        <v>198</v>
      </c>
      <c r="F63" s="10" t="s">
        <v>200</v>
      </c>
      <c r="G63" s="2"/>
      <c r="H63" s="10" t="s">
        <v>201</v>
      </c>
      <c r="I63" s="3"/>
      <c r="J63" s="3"/>
      <c r="K63" s="15" t="s">
        <v>202</v>
      </c>
      <c r="L63" s="10" t="s">
        <v>203</v>
      </c>
      <c r="Q63" s="11"/>
    </row>
    <row r="64" spans="1:31" s="24" customFormat="1">
      <c r="A64" s="22" t="s">
        <v>36</v>
      </c>
      <c r="B64" s="23" t="s">
        <v>204</v>
      </c>
      <c r="C64" s="23" t="s">
        <v>204</v>
      </c>
      <c r="D64" s="24" t="s">
        <v>199</v>
      </c>
      <c r="E64" s="23" t="s">
        <v>204</v>
      </c>
      <c r="F64" s="24" t="s">
        <v>200</v>
      </c>
      <c r="G64" s="25"/>
      <c r="H64" s="24" t="s">
        <v>201</v>
      </c>
      <c r="I64" s="26"/>
      <c r="J64" s="26"/>
      <c r="K64" s="27" t="s">
        <v>202</v>
      </c>
      <c r="L64" s="24" t="s">
        <v>205</v>
      </c>
      <c r="M64" s="24" t="s">
        <v>206</v>
      </c>
      <c r="N64" s="24">
        <v>0.99</v>
      </c>
      <c r="O64" s="24">
        <v>0.14000000000000001</v>
      </c>
      <c r="P64" s="24">
        <v>42.54</v>
      </c>
      <c r="Q64" s="28"/>
      <c r="R64" s="24" t="s">
        <v>73</v>
      </c>
      <c r="S64" s="24" t="s">
        <v>207</v>
      </c>
      <c r="T64" s="65">
        <v>1.619</v>
      </c>
      <c r="U64" s="24">
        <v>4.5999999999999999E-2</v>
      </c>
      <c r="V64" s="24">
        <v>28708</v>
      </c>
      <c r="X64" s="24">
        <v>94.4</v>
      </c>
      <c r="Y64" s="24">
        <v>16</v>
      </c>
      <c r="Z64" s="24">
        <v>1.603</v>
      </c>
      <c r="AA64" s="24">
        <v>4.5999999999999999E-2</v>
      </c>
      <c r="AB64" s="24">
        <v>86.5</v>
      </c>
      <c r="AC64" s="24">
        <v>1.595</v>
      </c>
      <c r="AD64" s="24">
        <v>1.595</v>
      </c>
      <c r="AE64" s="24">
        <v>1.7230000000000001</v>
      </c>
    </row>
    <row r="65" spans="1:31" s="24" customFormat="1">
      <c r="A65" s="22" t="s">
        <v>36</v>
      </c>
      <c r="B65" s="23" t="s">
        <v>208</v>
      </c>
      <c r="C65" s="23" t="s">
        <v>208</v>
      </c>
      <c r="D65" s="24" t="s">
        <v>199</v>
      </c>
      <c r="E65" s="23" t="s">
        <v>208</v>
      </c>
      <c r="F65" s="24" t="s">
        <v>200</v>
      </c>
      <c r="G65" s="25"/>
      <c r="H65" s="24" t="s">
        <v>201</v>
      </c>
      <c r="I65" s="26"/>
      <c r="J65" s="26"/>
      <c r="K65" s="27" t="s">
        <v>202</v>
      </c>
      <c r="L65" s="24" t="s">
        <v>209</v>
      </c>
      <c r="M65" s="24" t="s">
        <v>206</v>
      </c>
      <c r="N65" s="24">
        <v>0.97</v>
      </c>
      <c r="O65" s="24">
        <v>0.14000000000000001</v>
      </c>
      <c r="P65" s="24">
        <v>29.43</v>
      </c>
      <c r="Q65" s="28"/>
      <c r="R65" s="24" t="s">
        <v>73</v>
      </c>
      <c r="S65" s="24" t="s">
        <v>210</v>
      </c>
      <c r="T65" s="65">
        <v>1.5569999999999999</v>
      </c>
      <c r="U65" s="24">
        <v>4.7E-2</v>
      </c>
      <c r="V65" s="24">
        <v>27907</v>
      </c>
      <c r="X65" s="24">
        <v>82.4</v>
      </c>
      <c r="Y65" s="24">
        <v>15.6</v>
      </c>
      <c r="Z65" s="24">
        <v>1.556</v>
      </c>
      <c r="AA65" s="24">
        <v>4.7E-2</v>
      </c>
      <c r="AB65" s="24">
        <v>81.099999999999994</v>
      </c>
      <c r="AC65" s="24">
        <v>1.5589999999999999</v>
      </c>
      <c r="AD65" s="24">
        <v>1.5589999999999999</v>
      </c>
      <c r="AE65" s="24">
        <v>1.609</v>
      </c>
    </row>
    <row r="66" spans="1:31" s="24" customFormat="1">
      <c r="A66" s="22" t="s">
        <v>36</v>
      </c>
      <c r="B66" s="23" t="s">
        <v>211</v>
      </c>
      <c r="C66" s="23" t="s">
        <v>211</v>
      </c>
      <c r="D66" s="24" t="s">
        <v>199</v>
      </c>
      <c r="E66" s="23" t="s">
        <v>211</v>
      </c>
      <c r="F66" s="24" t="s">
        <v>200</v>
      </c>
      <c r="G66" s="25"/>
      <c r="H66" s="24" t="s">
        <v>201</v>
      </c>
      <c r="I66" s="26"/>
      <c r="J66" s="26"/>
      <c r="K66" s="27" t="s">
        <v>202</v>
      </c>
      <c r="L66" s="24" t="s">
        <v>212</v>
      </c>
      <c r="M66" s="24" t="s">
        <v>206</v>
      </c>
      <c r="N66" s="24">
        <v>0.98</v>
      </c>
      <c r="O66" s="24">
        <v>0.12</v>
      </c>
      <c r="P66" s="24">
        <v>37.89</v>
      </c>
      <c r="Q66" s="28"/>
      <c r="R66" s="24" t="s">
        <v>73</v>
      </c>
      <c r="S66" s="24" t="s">
        <v>213</v>
      </c>
      <c r="T66" s="65">
        <v>1.5489999999999999</v>
      </c>
      <c r="U66" s="24">
        <v>4.7E-2</v>
      </c>
      <c r="V66" s="24">
        <v>27399</v>
      </c>
      <c r="X66" s="24">
        <v>79.7</v>
      </c>
      <c r="Y66" s="24">
        <v>15.8</v>
      </c>
      <c r="Z66" s="24">
        <v>1.583</v>
      </c>
      <c r="AA66" s="24">
        <v>4.7E-2</v>
      </c>
      <c r="AB66" s="24">
        <v>82.2</v>
      </c>
      <c r="AC66" s="24">
        <v>1.581</v>
      </c>
      <c r="AD66" s="24">
        <v>1.581</v>
      </c>
      <c r="AE66" s="24">
        <v>1.623</v>
      </c>
    </row>
    <row r="67" spans="1:31" s="24" customFormat="1">
      <c r="A67" s="22" t="s">
        <v>36</v>
      </c>
      <c r="B67" s="23" t="s">
        <v>214</v>
      </c>
      <c r="C67" s="23" t="s">
        <v>214</v>
      </c>
      <c r="D67" s="24" t="s">
        <v>199</v>
      </c>
      <c r="E67" s="23" t="s">
        <v>214</v>
      </c>
      <c r="F67" s="24" t="s">
        <v>200</v>
      </c>
      <c r="G67" s="25"/>
      <c r="H67" s="24" t="s">
        <v>201</v>
      </c>
      <c r="I67" s="25"/>
      <c r="J67" s="25"/>
      <c r="K67" s="27" t="s">
        <v>202</v>
      </c>
      <c r="L67" s="24" t="s">
        <v>215</v>
      </c>
      <c r="M67" s="24" t="s">
        <v>206</v>
      </c>
      <c r="N67" s="24">
        <v>0.99</v>
      </c>
      <c r="O67" s="24">
        <v>0.14000000000000001</v>
      </c>
      <c r="P67" s="24">
        <v>8.24</v>
      </c>
      <c r="Q67" s="28"/>
      <c r="R67" s="24" t="s">
        <v>73</v>
      </c>
      <c r="S67" s="24" t="s">
        <v>216</v>
      </c>
      <c r="T67" s="65">
        <v>1.609</v>
      </c>
      <c r="U67" s="24">
        <v>0.122</v>
      </c>
      <c r="V67" s="24">
        <v>27057</v>
      </c>
      <c r="X67" s="24">
        <v>87.3</v>
      </c>
      <c r="Y67" s="24">
        <v>16.2</v>
      </c>
      <c r="Z67" s="24">
        <v>1.591</v>
      </c>
      <c r="AA67" s="24">
        <v>0.122</v>
      </c>
      <c r="AB67" s="24">
        <v>81.5</v>
      </c>
      <c r="AC67" s="24">
        <v>1.599</v>
      </c>
      <c r="AD67" s="24">
        <v>1.599</v>
      </c>
      <c r="AE67" s="24">
        <v>1.6559999999999999</v>
      </c>
    </row>
    <row r="68" spans="1:31">
      <c r="A68" s="12" t="s">
        <v>36</v>
      </c>
      <c r="B68" s="1" t="s">
        <v>217</v>
      </c>
      <c r="C68" s="1" t="s">
        <v>217</v>
      </c>
      <c r="D68" s="10" t="s">
        <v>199</v>
      </c>
      <c r="E68" s="1" t="s">
        <v>217</v>
      </c>
      <c r="F68" s="10" t="s">
        <v>200</v>
      </c>
      <c r="G68" s="2"/>
      <c r="H68" s="10" t="s">
        <v>218</v>
      </c>
      <c r="I68" s="2"/>
      <c r="J68" s="2"/>
      <c r="K68" s="15" t="s">
        <v>219</v>
      </c>
      <c r="L68" s="10" t="s">
        <v>67</v>
      </c>
      <c r="Q68" s="11"/>
    </row>
    <row r="69" spans="1:31">
      <c r="A69" s="12" t="s">
        <v>36</v>
      </c>
      <c r="B69" s="1" t="s">
        <v>220</v>
      </c>
      <c r="C69" s="1" t="s">
        <v>220</v>
      </c>
      <c r="D69" s="10" t="s">
        <v>221</v>
      </c>
      <c r="E69" s="1" t="s">
        <v>220</v>
      </c>
      <c r="F69" s="10" t="s">
        <v>222</v>
      </c>
      <c r="G69" s="2"/>
      <c r="H69" s="10" t="s">
        <v>223</v>
      </c>
      <c r="I69" s="2"/>
      <c r="J69" s="2"/>
      <c r="K69" s="4" t="s">
        <v>219</v>
      </c>
      <c r="L69" s="10" t="s">
        <v>224</v>
      </c>
      <c r="Q69" s="11"/>
    </row>
    <row r="70" spans="1:31">
      <c r="A70" s="12" t="s">
        <v>36</v>
      </c>
      <c r="B70" s="1" t="s">
        <v>225</v>
      </c>
      <c r="C70" s="1" t="s">
        <v>225</v>
      </c>
      <c r="D70" s="10" t="s">
        <v>221</v>
      </c>
      <c r="E70" s="1" t="s">
        <v>225</v>
      </c>
      <c r="F70" s="10" t="s">
        <v>222</v>
      </c>
      <c r="G70" s="2"/>
      <c r="H70" s="10" t="s">
        <v>223</v>
      </c>
      <c r="I70" s="2"/>
      <c r="J70" s="2"/>
      <c r="K70" s="4" t="s">
        <v>219</v>
      </c>
      <c r="L70" s="10" t="s">
        <v>226</v>
      </c>
      <c r="Q70" s="11"/>
    </row>
    <row r="71" spans="1:31" ht="15">
      <c r="A71" s="12" t="s">
        <v>36</v>
      </c>
      <c r="B71" s="1" t="s">
        <v>227</v>
      </c>
      <c r="C71" s="1" t="s">
        <v>227</v>
      </c>
      <c r="D71" s="10" t="s">
        <v>228</v>
      </c>
      <c r="E71" s="1" t="s">
        <v>227</v>
      </c>
      <c r="F71" s="10" t="s">
        <v>70</v>
      </c>
      <c r="G71" s="2"/>
      <c r="H71" s="56" t="s">
        <v>229</v>
      </c>
      <c r="I71" s="2"/>
      <c r="J71" s="2"/>
      <c r="K71" s="20" t="s">
        <v>219</v>
      </c>
      <c r="L71" s="10" t="s">
        <v>230</v>
      </c>
      <c r="Q71" s="11"/>
    </row>
    <row r="72" spans="1:31" s="24" customFormat="1" ht="12.75">
      <c r="A72" s="22" t="s">
        <v>36</v>
      </c>
      <c r="B72" s="23" t="s">
        <v>231</v>
      </c>
      <c r="C72" s="23" t="s">
        <v>231</v>
      </c>
      <c r="D72" s="24" t="s">
        <v>228</v>
      </c>
      <c r="E72" s="23" t="s">
        <v>231</v>
      </c>
      <c r="F72" s="24" t="s">
        <v>232</v>
      </c>
      <c r="G72" s="25"/>
      <c r="H72" s="24" t="s">
        <v>233</v>
      </c>
      <c r="I72" s="25"/>
      <c r="J72" s="25"/>
      <c r="K72" s="30" t="s">
        <v>202</v>
      </c>
      <c r="L72" s="32" t="s">
        <v>234</v>
      </c>
      <c r="M72" s="24" t="s">
        <v>206</v>
      </c>
      <c r="N72" s="24">
        <v>0.62</v>
      </c>
      <c r="O72" s="24">
        <v>0.25</v>
      </c>
      <c r="P72" s="24">
        <v>21.66</v>
      </c>
      <c r="Q72" s="28"/>
      <c r="R72" s="24" t="s">
        <v>101</v>
      </c>
      <c r="S72" s="24" t="s">
        <v>235</v>
      </c>
      <c r="T72" s="65">
        <v>2.3159999999999998</v>
      </c>
      <c r="U72" s="24">
        <v>0.26300000000000001</v>
      </c>
      <c r="V72" s="24">
        <v>8855</v>
      </c>
      <c r="X72" s="24">
        <v>96.4</v>
      </c>
      <c r="Y72" s="24">
        <v>17.600000000000001</v>
      </c>
      <c r="Z72" s="24">
        <v>2.2189999999999999</v>
      </c>
      <c r="AA72" s="24">
        <v>0.255</v>
      </c>
      <c r="AB72" s="24">
        <v>79.7</v>
      </c>
      <c r="AC72" s="24">
        <v>2.36</v>
      </c>
      <c r="AD72" s="24">
        <v>2.36</v>
      </c>
      <c r="AE72" s="24">
        <v>2.2000000000000002</v>
      </c>
    </row>
    <row r="73" spans="1:31">
      <c r="A73" s="12" t="s">
        <v>36</v>
      </c>
      <c r="B73" s="1" t="s">
        <v>236</v>
      </c>
      <c r="C73" s="1" t="s">
        <v>236</v>
      </c>
      <c r="D73" s="10" t="s">
        <v>228</v>
      </c>
      <c r="E73" s="1" t="s">
        <v>236</v>
      </c>
      <c r="F73" s="10" t="s">
        <v>232</v>
      </c>
      <c r="G73" s="2"/>
      <c r="H73" s="10" t="s">
        <v>233</v>
      </c>
      <c r="I73" s="2"/>
      <c r="J73" s="2"/>
      <c r="K73" s="4" t="s">
        <v>202</v>
      </c>
      <c r="L73" s="10" t="s">
        <v>158</v>
      </c>
      <c r="Q73" s="11"/>
    </row>
    <row r="74" spans="1:31">
      <c r="A74" s="12" t="s">
        <v>36</v>
      </c>
      <c r="B74" s="1" t="s">
        <v>237</v>
      </c>
      <c r="C74" s="1" t="s">
        <v>237</v>
      </c>
      <c r="D74" s="10" t="s">
        <v>228</v>
      </c>
      <c r="E74" s="1" t="s">
        <v>237</v>
      </c>
      <c r="F74" s="10" t="s">
        <v>232</v>
      </c>
      <c r="G74" s="2"/>
      <c r="H74" s="10" t="s">
        <v>233</v>
      </c>
      <c r="I74" s="2"/>
      <c r="J74" s="2"/>
      <c r="K74" s="4" t="s">
        <v>202</v>
      </c>
      <c r="L74" s="10" t="s">
        <v>238</v>
      </c>
      <c r="Q74" s="11"/>
    </row>
    <row r="75" spans="1:31">
      <c r="A75" s="12" t="s">
        <v>36</v>
      </c>
      <c r="B75" s="1" t="s">
        <v>239</v>
      </c>
      <c r="C75" s="1" t="s">
        <v>239</v>
      </c>
      <c r="D75" s="10" t="s">
        <v>240</v>
      </c>
      <c r="E75" s="1" t="s">
        <v>239</v>
      </c>
      <c r="F75" s="10" t="s">
        <v>241</v>
      </c>
      <c r="G75" s="2"/>
      <c r="H75" s="10" t="s">
        <v>242</v>
      </c>
      <c r="I75" s="2"/>
      <c r="J75" s="2"/>
      <c r="K75" s="4" t="s">
        <v>202</v>
      </c>
      <c r="L75" s="10" t="s">
        <v>81</v>
      </c>
      <c r="Q75" s="11"/>
    </row>
    <row r="76" spans="1:31">
      <c r="A76" s="12" t="s">
        <v>36</v>
      </c>
      <c r="B76" s="1" t="s">
        <v>243</v>
      </c>
      <c r="C76" s="1" t="s">
        <v>243</v>
      </c>
      <c r="D76" s="10" t="s">
        <v>244</v>
      </c>
      <c r="E76" s="1" t="s">
        <v>243</v>
      </c>
      <c r="F76" s="10" t="s">
        <v>245</v>
      </c>
      <c r="G76" s="2"/>
      <c r="H76" s="10" t="s">
        <v>246</v>
      </c>
      <c r="I76" s="2"/>
      <c r="J76" s="4"/>
      <c r="K76" s="4" t="s">
        <v>247</v>
      </c>
      <c r="L76" s="10" t="s">
        <v>248</v>
      </c>
      <c r="Q76" s="11"/>
    </row>
    <row r="77" spans="1:31">
      <c r="A77" s="12" t="s">
        <v>36</v>
      </c>
      <c r="B77" s="1" t="s">
        <v>249</v>
      </c>
      <c r="C77" s="1" t="s">
        <v>249</v>
      </c>
      <c r="D77" s="10" t="s">
        <v>244</v>
      </c>
      <c r="E77" s="1" t="s">
        <v>249</v>
      </c>
      <c r="F77" s="10" t="s">
        <v>250</v>
      </c>
      <c r="G77" s="2"/>
      <c r="H77" s="10" t="s">
        <v>251</v>
      </c>
      <c r="I77" s="2"/>
      <c r="J77" s="4"/>
      <c r="K77" s="4" t="s">
        <v>247</v>
      </c>
      <c r="L77" s="10" t="s">
        <v>65</v>
      </c>
      <c r="Q77" s="11"/>
    </row>
    <row r="78" spans="1:31">
      <c r="A78" s="12" t="s">
        <v>36</v>
      </c>
      <c r="B78" s="1" t="s">
        <v>252</v>
      </c>
      <c r="C78" s="1" t="s">
        <v>252</v>
      </c>
      <c r="D78" s="10" t="s">
        <v>244</v>
      </c>
      <c r="E78" s="1" t="s">
        <v>252</v>
      </c>
      <c r="F78" s="10" t="s">
        <v>253</v>
      </c>
      <c r="G78" s="2"/>
      <c r="H78" s="10" t="s">
        <v>251</v>
      </c>
      <c r="I78" s="2"/>
      <c r="J78" s="2"/>
      <c r="K78" s="4" t="s">
        <v>247</v>
      </c>
      <c r="L78" s="10" t="s">
        <v>254</v>
      </c>
      <c r="Q78" s="11"/>
    </row>
    <row r="79" spans="1:31">
      <c r="A79" s="12" t="s">
        <v>36</v>
      </c>
      <c r="B79" s="1" t="s">
        <v>255</v>
      </c>
      <c r="C79" s="1" t="s">
        <v>255</v>
      </c>
      <c r="D79" s="10" t="s">
        <v>244</v>
      </c>
      <c r="E79" s="1" t="s">
        <v>255</v>
      </c>
      <c r="F79" s="10" t="s">
        <v>245</v>
      </c>
      <c r="G79" s="2"/>
      <c r="H79" s="10" t="s">
        <v>256</v>
      </c>
      <c r="I79" s="2"/>
      <c r="J79" s="2"/>
      <c r="K79" s="4" t="s">
        <v>247</v>
      </c>
      <c r="L79" s="10" t="s">
        <v>257</v>
      </c>
      <c r="Q79" s="11"/>
    </row>
    <row r="80" spans="1:31">
      <c r="A80" s="12" t="s">
        <v>36</v>
      </c>
      <c r="B80" s="1" t="s">
        <v>258</v>
      </c>
      <c r="C80" s="1" t="s">
        <v>258</v>
      </c>
      <c r="D80" s="10" t="s">
        <v>244</v>
      </c>
      <c r="E80" s="1" t="s">
        <v>258</v>
      </c>
      <c r="F80" s="10" t="s">
        <v>245</v>
      </c>
      <c r="G80" s="2"/>
      <c r="H80" s="10" t="s">
        <v>256</v>
      </c>
      <c r="I80" s="2"/>
      <c r="J80" s="2"/>
      <c r="K80" s="4" t="s">
        <v>247</v>
      </c>
      <c r="L80" s="10" t="s">
        <v>254</v>
      </c>
      <c r="Q80" s="11"/>
    </row>
    <row r="81" spans="1:31">
      <c r="A81" s="12" t="s">
        <v>36</v>
      </c>
      <c r="B81" s="1" t="s">
        <v>259</v>
      </c>
      <c r="C81" s="1" t="s">
        <v>259</v>
      </c>
      <c r="D81" s="10" t="s">
        <v>244</v>
      </c>
      <c r="E81" s="1" t="s">
        <v>259</v>
      </c>
      <c r="F81" s="10" t="s">
        <v>245</v>
      </c>
      <c r="G81" s="2"/>
      <c r="H81" s="10" t="s">
        <v>260</v>
      </c>
      <c r="I81" s="2"/>
      <c r="J81" s="2"/>
      <c r="K81" s="4" t="s">
        <v>247</v>
      </c>
      <c r="L81" s="10" t="s">
        <v>254</v>
      </c>
      <c r="Q81" s="11"/>
    </row>
    <row r="82" spans="1:31">
      <c r="A82" s="12" t="s">
        <v>36</v>
      </c>
      <c r="B82" s="1" t="s">
        <v>261</v>
      </c>
      <c r="C82" s="1" t="s">
        <v>261</v>
      </c>
      <c r="D82" s="10" t="s">
        <v>244</v>
      </c>
      <c r="E82" s="1" t="s">
        <v>261</v>
      </c>
      <c r="F82" s="10" t="s">
        <v>245</v>
      </c>
      <c r="G82" s="2"/>
      <c r="H82" s="10" t="s">
        <v>260</v>
      </c>
      <c r="I82" s="2"/>
      <c r="J82" s="2"/>
      <c r="K82" s="15" t="s">
        <v>247</v>
      </c>
      <c r="L82" s="10" t="s">
        <v>254</v>
      </c>
      <c r="Q82" s="11"/>
    </row>
    <row r="83" spans="1:31">
      <c r="A83" s="12" t="s">
        <v>36</v>
      </c>
      <c r="B83" s="1" t="s">
        <v>262</v>
      </c>
      <c r="C83" s="1" t="s">
        <v>262</v>
      </c>
      <c r="D83" s="10" t="s">
        <v>244</v>
      </c>
      <c r="E83" s="1" t="s">
        <v>262</v>
      </c>
      <c r="F83" s="10" t="s">
        <v>263</v>
      </c>
      <c r="G83" s="2"/>
      <c r="H83" s="10" t="s">
        <v>264</v>
      </c>
      <c r="I83" s="2"/>
      <c r="J83" s="2"/>
      <c r="K83" s="15" t="s">
        <v>247</v>
      </c>
      <c r="L83" s="10" t="s">
        <v>254</v>
      </c>
      <c r="Q83" s="11"/>
    </row>
    <row r="84" spans="1:31">
      <c r="A84" s="12" t="s">
        <v>36</v>
      </c>
      <c r="B84" s="1" t="s">
        <v>265</v>
      </c>
      <c r="C84" s="1" t="s">
        <v>265</v>
      </c>
      <c r="D84" s="10" t="s">
        <v>266</v>
      </c>
      <c r="E84" s="1" t="s">
        <v>265</v>
      </c>
      <c r="F84" s="10" t="s">
        <v>267</v>
      </c>
      <c r="G84" s="2"/>
      <c r="H84" s="10" t="s">
        <v>268</v>
      </c>
      <c r="I84" s="2"/>
      <c r="J84" s="2"/>
      <c r="K84" s="15" t="s">
        <v>269</v>
      </c>
      <c r="L84" s="10" t="s">
        <v>270</v>
      </c>
      <c r="Q84" s="11"/>
    </row>
    <row r="85" spans="1:31">
      <c r="A85" s="12" t="s">
        <v>36</v>
      </c>
      <c r="B85" s="1" t="s">
        <v>271</v>
      </c>
      <c r="C85" s="1" t="s">
        <v>271</v>
      </c>
      <c r="D85" s="10" t="s">
        <v>266</v>
      </c>
      <c r="E85" s="1" t="s">
        <v>271</v>
      </c>
      <c r="F85" s="10" t="s">
        <v>267</v>
      </c>
      <c r="G85" s="2"/>
      <c r="H85" s="10" t="s">
        <v>268</v>
      </c>
      <c r="I85" s="2"/>
      <c r="J85" s="2"/>
      <c r="K85" s="15" t="s">
        <v>269</v>
      </c>
      <c r="L85" s="10" t="s">
        <v>272</v>
      </c>
      <c r="Q85" s="11"/>
    </row>
    <row r="86" spans="1:31">
      <c r="A86" s="12" t="s">
        <v>36</v>
      </c>
      <c r="B86" s="1" t="s">
        <v>273</v>
      </c>
      <c r="C86" s="1" t="s">
        <v>273</v>
      </c>
      <c r="D86" s="10" t="s">
        <v>266</v>
      </c>
      <c r="E86" s="1" t="s">
        <v>273</v>
      </c>
      <c r="F86" s="10" t="s">
        <v>267</v>
      </c>
      <c r="G86" s="2"/>
      <c r="H86" s="10" t="s">
        <v>268</v>
      </c>
      <c r="I86" s="2"/>
      <c r="J86" s="2"/>
      <c r="K86" s="15" t="s">
        <v>269</v>
      </c>
      <c r="L86" s="10" t="s">
        <v>274</v>
      </c>
      <c r="Q86" s="11"/>
    </row>
    <row r="87" spans="1:31">
      <c r="A87" s="12" t="s">
        <v>36</v>
      </c>
      <c r="B87" s="1" t="s">
        <v>275</v>
      </c>
      <c r="C87" s="1" t="s">
        <v>275</v>
      </c>
      <c r="D87" s="10" t="s">
        <v>266</v>
      </c>
      <c r="E87" s="1" t="s">
        <v>275</v>
      </c>
      <c r="F87" s="10" t="s">
        <v>267</v>
      </c>
      <c r="G87" s="2"/>
      <c r="H87" s="10" t="s">
        <v>268</v>
      </c>
      <c r="I87" s="2"/>
      <c r="J87" s="2"/>
      <c r="K87" s="15" t="s">
        <v>269</v>
      </c>
      <c r="L87" s="10" t="s">
        <v>276</v>
      </c>
    </row>
    <row r="88" spans="1:31">
      <c r="A88" s="12" t="s">
        <v>36</v>
      </c>
      <c r="B88" s="1" t="s">
        <v>277</v>
      </c>
      <c r="C88" s="1" t="s">
        <v>277</v>
      </c>
      <c r="D88" s="10" t="s">
        <v>266</v>
      </c>
      <c r="E88" s="1" t="s">
        <v>277</v>
      </c>
      <c r="F88" s="10" t="s">
        <v>267</v>
      </c>
      <c r="G88" s="2"/>
      <c r="H88" s="10" t="s">
        <v>268</v>
      </c>
      <c r="I88" s="2"/>
      <c r="J88" s="2"/>
      <c r="K88" s="15" t="s">
        <v>269</v>
      </c>
      <c r="L88" s="10" t="s">
        <v>65</v>
      </c>
    </row>
    <row r="89" spans="1:31">
      <c r="A89" s="12" t="s">
        <v>36</v>
      </c>
      <c r="B89" s="1" t="s">
        <v>278</v>
      </c>
      <c r="C89" s="1" t="s">
        <v>278</v>
      </c>
      <c r="D89" s="10" t="s">
        <v>266</v>
      </c>
      <c r="E89" s="1" t="s">
        <v>278</v>
      </c>
      <c r="F89" s="10" t="s">
        <v>267</v>
      </c>
      <c r="G89" s="2"/>
      <c r="H89" s="10" t="s">
        <v>268</v>
      </c>
      <c r="I89" s="2"/>
      <c r="J89" s="2"/>
      <c r="K89" s="15" t="s">
        <v>269</v>
      </c>
      <c r="L89" s="10" t="s">
        <v>279</v>
      </c>
    </row>
    <row r="90" spans="1:31">
      <c r="A90" s="12" t="s">
        <v>36</v>
      </c>
      <c r="B90" s="1" t="s">
        <v>280</v>
      </c>
      <c r="C90" s="1" t="s">
        <v>280</v>
      </c>
      <c r="D90" s="10" t="s">
        <v>266</v>
      </c>
      <c r="E90" s="1" t="s">
        <v>280</v>
      </c>
      <c r="F90" s="10" t="s">
        <v>267</v>
      </c>
      <c r="G90" s="2"/>
      <c r="H90" s="10" t="s">
        <v>268</v>
      </c>
      <c r="I90" s="2"/>
      <c r="J90" s="2"/>
      <c r="K90" s="15" t="s">
        <v>269</v>
      </c>
      <c r="L90" s="10" t="s">
        <v>279</v>
      </c>
    </row>
    <row r="91" spans="1:31" s="24" customFormat="1">
      <c r="A91" s="22" t="s">
        <v>36</v>
      </c>
      <c r="B91" s="23" t="s">
        <v>281</v>
      </c>
      <c r="C91" s="23" t="s">
        <v>281</v>
      </c>
      <c r="D91" s="24" t="s">
        <v>266</v>
      </c>
      <c r="E91" s="23" t="s">
        <v>281</v>
      </c>
      <c r="F91" s="24" t="s">
        <v>267</v>
      </c>
      <c r="G91" s="25"/>
      <c r="H91" s="24" t="s">
        <v>268</v>
      </c>
      <c r="I91" s="25"/>
      <c r="J91" s="25"/>
      <c r="K91" s="27" t="s">
        <v>269</v>
      </c>
      <c r="L91" s="24" t="s">
        <v>282</v>
      </c>
      <c r="M91" s="24" t="s">
        <v>283</v>
      </c>
      <c r="N91" s="24">
        <v>4.4999999999999998E-2</v>
      </c>
      <c r="O91" s="24">
        <v>0.35</v>
      </c>
      <c r="P91" s="24">
        <v>27.12</v>
      </c>
      <c r="Q91" s="41">
        <f>1043-816</f>
        <v>227</v>
      </c>
      <c r="R91" s="24" t="s">
        <v>284</v>
      </c>
      <c r="S91" s="24" t="s">
        <v>285</v>
      </c>
      <c r="T91" s="65">
        <v>3.5489999999999999</v>
      </c>
      <c r="U91" s="24">
        <v>0.161</v>
      </c>
      <c r="V91" s="24">
        <v>17888</v>
      </c>
      <c r="X91" s="24">
        <v>89.1</v>
      </c>
      <c r="Y91" s="24">
        <v>3.4</v>
      </c>
      <c r="Z91" s="24">
        <v>2.802</v>
      </c>
      <c r="AA91" s="24">
        <v>0.17199999999999999</v>
      </c>
      <c r="AB91" s="24">
        <v>55.3</v>
      </c>
      <c r="AC91" s="24">
        <v>2.8039999999999998</v>
      </c>
      <c r="AD91" s="24">
        <v>3.6840000000000002</v>
      </c>
      <c r="AE91" s="24">
        <v>2.6680000000000001</v>
      </c>
    </row>
    <row r="92" spans="1:31">
      <c r="A92" s="12" t="s">
        <v>36</v>
      </c>
      <c r="B92" s="1" t="s">
        <v>286</v>
      </c>
      <c r="C92" s="1" t="s">
        <v>286</v>
      </c>
      <c r="D92" s="10" t="s">
        <v>266</v>
      </c>
      <c r="E92" s="1" t="s">
        <v>286</v>
      </c>
      <c r="F92" s="10" t="s">
        <v>267</v>
      </c>
      <c r="G92" s="2"/>
      <c r="H92" s="10" t="s">
        <v>268</v>
      </c>
      <c r="I92" s="2"/>
      <c r="J92" s="2"/>
      <c r="K92" s="15" t="s">
        <v>269</v>
      </c>
      <c r="L92" s="10" t="s">
        <v>287</v>
      </c>
    </row>
    <row r="93" spans="1:31" s="24" customFormat="1">
      <c r="A93" s="22" t="s">
        <v>36</v>
      </c>
      <c r="B93" s="23" t="s">
        <v>288</v>
      </c>
      <c r="C93" s="29" t="s">
        <v>288</v>
      </c>
      <c r="D93" s="44" t="s">
        <v>266</v>
      </c>
      <c r="E93" s="31" t="s">
        <v>288</v>
      </c>
      <c r="F93" s="24" t="s">
        <v>289</v>
      </c>
      <c r="G93" s="42"/>
      <c r="H93" s="24" t="s">
        <v>290</v>
      </c>
      <c r="I93" s="43"/>
      <c r="J93" s="25"/>
      <c r="K93" s="27" t="s">
        <v>44</v>
      </c>
      <c r="L93" s="24" t="s">
        <v>291</v>
      </c>
      <c r="M93" s="24" t="s">
        <v>292</v>
      </c>
      <c r="N93" s="24">
        <v>0.254</v>
      </c>
      <c r="O93" s="24">
        <v>0.43</v>
      </c>
      <c r="P93" s="24">
        <v>25.07</v>
      </c>
      <c r="Q93" s="41">
        <v>147</v>
      </c>
      <c r="R93" s="24" t="s">
        <v>73</v>
      </c>
      <c r="S93" s="24" t="s">
        <v>293</v>
      </c>
      <c r="T93" s="65">
        <v>1.758</v>
      </c>
      <c r="U93" s="24">
        <v>0.14099999999999999</v>
      </c>
      <c r="V93" s="24">
        <v>21857</v>
      </c>
      <c r="X93" s="24">
        <v>93.9</v>
      </c>
      <c r="Y93" s="24">
        <v>18.600000000000001</v>
      </c>
      <c r="Z93" s="24">
        <v>1.7230000000000001</v>
      </c>
      <c r="AA93" s="24">
        <v>0.13</v>
      </c>
      <c r="AB93" s="24">
        <v>81.8</v>
      </c>
      <c r="AC93" s="24">
        <v>1.728</v>
      </c>
      <c r="AD93" s="24">
        <v>1.728</v>
      </c>
      <c r="AE93" s="24">
        <v>1.86</v>
      </c>
    </row>
    <row r="94" spans="1:31" s="45" customFormat="1">
      <c r="A94" s="46" t="s">
        <v>36</v>
      </c>
      <c r="B94" s="47" t="s">
        <v>294</v>
      </c>
      <c r="C94" s="48" t="s">
        <v>294</v>
      </c>
      <c r="D94" s="49" t="s">
        <v>266</v>
      </c>
      <c r="E94" s="50" t="s">
        <v>294</v>
      </c>
      <c r="F94" s="45" t="s">
        <v>289</v>
      </c>
      <c r="G94" s="51"/>
      <c r="H94" s="45" t="s">
        <v>290</v>
      </c>
      <c r="I94" s="52"/>
      <c r="J94" s="53"/>
      <c r="K94" s="54" t="s">
        <v>269</v>
      </c>
      <c r="L94" s="45" t="s">
        <v>295</v>
      </c>
      <c r="M94" s="45" t="s">
        <v>283</v>
      </c>
      <c r="N94" s="45">
        <v>0.84899999999999998</v>
      </c>
      <c r="O94" s="45">
        <v>0.22</v>
      </c>
      <c r="P94" s="45">
        <v>24.9</v>
      </c>
      <c r="Q94" s="55">
        <v>147</v>
      </c>
      <c r="R94" s="45" t="s">
        <v>73</v>
      </c>
      <c r="S94" s="45" t="s">
        <v>296</v>
      </c>
      <c r="T94" s="65">
        <v>1.571</v>
      </c>
      <c r="U94" s="45">
        <v>0.12</v>
      </c>
      <c r="V94" s="45">
        <v>31099</v>
      </c>
      <c r="X94" s="45">
        <v>95.9</v>
      </c>
      <c r="Y94" s="45">
        <v>18.5</v>
      </c>
      <c r="Z94" s="45">
        <v>1.581</v>
      </c>
      <c r="AA94" s="45">
        <v>0.109</v>
      </c>
      <c r="AB94" s="45">
        <v>86.8</v>
      </c>
      <c r="AC94" s="45">
        <v>1.5880000000000001</v>
      </c>
      <c r="AD94" s="45">
        <v>1.5880000000000001</v>
      </c>
      <c r="AE94" s="45">
        <v>1.639</v>
      </c>
    </row>
    <row r="95" spans="1:31">
      <c r="A95" s="12" t="s">
        <v>36</v>
      </c>
      <c r="B95" s="1" t="s">
        <v>297</v>
      </c>
      <c r="C95" s="1" t="s">
        <v>297</v>
      </c>
      <c r="D95" s="10" t="s">
        <v>266</v>
      </c>
      <c r="E95" s="1" t="s">
        <v>297</v>
      </c>
      <c r="F95" s="10" t="s">
        <v>289</v>
      </c>
      <c r="G95" s="2"/>
      <c r="H95" s="10" t="s">
        <v>290</v>
      </c>
      <c r="I95" s="2"/>
      <c r="J95" s="2"/>
      <c r="K95" s="15" t="s">
        <v>44</v>
      </c>
      <c r="L95" s="10" t="s">
        <v>298</v>
      </c>
    </row>
    <row r="96" spans="1:31" s="24" customFormat="1">
      <c r="A96" s="22" t="s">
        <v>36</v>
      </c>
      <c r="B96" s="23" t="s">
        <v>299</v>
      </c>
      <c r="C96" s="23" t="s">
        <v>299</v>
      </c>
      <c r="D96" s="24" t="s">
        <v>266</v>
      </c>
      <c r="E96" s="23" t="s">
        <v>299</v>
      </c>
      <c r="F96" s="24" t="s">
        <v>289</v>
      </c>
      <c r="G96" s="25"/>
      <c r="H96" s="24" t="s">
        <v>290</v>
      </c>
      <c r="I96" s="25"/>
      <c r="J96" s="25"/>
      <c r="K96" s="27" t="s">
        <v>44</v>
      </c>
      <c r="L96" s="24" t="s">
        <v>295</v>
      </c>
      <c r="M96" s="24" t="s">
        <v>292</v>
      </c>
      <c r="N96" s="24">
        <v>0.46200000000000002</v>
      </c>
      <c r="O96" s="24">
        <v>0.2</v>
      </c>
      <c r="P96" s="24">
        <v>44.13</v>
      </c>
      <c r="Q96" s="41">
        <v>410</v>
      </c>
      <c r="R96" s="24" t="s">
        <v>284</v>
      </c>
      <c r="S96" s="24" t="s">
        <v>300</v>
      </c>
      <c r="T96" s="65">
        <v>4.0469999999999997</v>
      </c>
      <c r="U96" s="24">
        <v>0.69199999999999995</v>
      </c>
      <c r="V96" s="24">
        <v>10112</v>
      </c>
      <c r="X96" s="24">
        <v>91.5</v>
      </c>
      <c r="Y96" s="24">
        <v>3</v>
      </c>
      <c r="Z96" s="24">
        <v>2.0640000000000001</v>
      </c>
      <c r="AA96" s="24">
        <v>0.63100000000000001</v>
      </c>
      <c r="AB96" s="24">
        <v>36</v>
      </c>
      <c r="AC96" s="24">
        <v>2.093</v>
      </c>
      <c r="AD96" s="24">
        <v>3.5310000000000001</v>
      </c>
      <c r="AE96" s="24">
        <v>1.954</v>
      </c>
    </row>
    <row r="97" spans="1:31" s="24" customFormat="1">
      <c r="A97" s="22" t="s">
        <v>36</v>
      </c>
      <c r="B97" s="23" t="s">
        <v>301</v>
      </c>
      <c r="C97" s="23" t="s">
        <v>301</v>
      </c>
      <c r="D97" s="24" t="s">
        <v>266</v>
      </c>
      <c r="E97" s="23" t="s">
        <v>301</v>
      </c>
      <c r="F97" s="24" t="s">
        <v>289</v>
      </c>
      <c r="G97" s="25"/>
      <c r="H97" s="24" t="s">
        <v>290</v>
      </c>
      <c r="I97" s="26"/>
      <c r="J97" s="26"/>
      <c r="K97" s="27" t="s">
        <v>44</v>
      </c>
      <c r="L97" s="24" t="s">
        <v>302</v>
      </c>
      <c r="M97" s="24" t="s">
        <v>292</v>
      </c>
      <c r="N97" s="24">
        <v>0.13700000000000001</v>
      </c>
      <c r="O97" s="24">
        <v>0.41</v>
      </c>
      <c r="P97" s="24">
        <v>23.46</v>
      </c>
      <c r="Q97" s="41"/>
      <c r="R97" s="24" t="s">
        <v>73</v>
      </c>
      <c r="S97" s="24" t="s">
        <v>303</v>
      </c>
      <c r="T97" s="65">
        <v>2.012</v>
      </c>
      <c r="U97" s="24">
        <v>0.34</v>
      </c>
      <c r="V97" s="24">
        <v>14749</v>
      </c>
      <c r="X97" s="24">
        <v>94.6</v>
      </c>
      <c r="Y97" s="24">
        <v>20.3</v>
      </c>
      <c r="Z97" s="24">
        <v>2.004</v>
      </c>
      <c r="AA97" s="24">
        <v>0.27700000000000002</v>
      </c>
      <c r="AB97" s="24">
        <v>77.900000000000006</v>
      </c>
      <c r="AC97" s="24">
        <v>2.0329999999999999</v>
      </c>
      <c r="AD97" s="24">
        <v>2.0329999999999999</v>
      </c>
      <c r="AE97" s="24">
        <v>2.2370000000000001</v>
      </c>
    </row>
    <row r="98" spans="1:31" ht="12.75">
      <c r="A98" s="12" t="s">
        <v>36</v>
      </c>
      <c r="B98" s="5" t="s">
        <v>304</v>
      </c>
      <c r="C98" s="5" t="s">
        <v>304</v>
      </c>
      <c r="D98" s="16" t="s">
        <v>266</v>
      </c>
      <c r="E98" s="5" t="s">
        <v>304</v>
      </c>
      <c r="F98" s="16" t="s">
        <v>289</v>
      </c>
      <c r="G98" s="6"/>
      <c r="H98" s="16" t="s">
        <v>290</v>
      </c>
      <c r="I98" s="7"/>
      <c r="J98" s="7"/>
      <c r="K98" s="17" t="s">
        <v>44</v>
      </c>
      <c r="L98" s="10" t="s">
        <v>65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3D05691D733F49B02219D6E4ED2B6E" ma:contentTypeVersion="18" ma:contentTypeDescription="Create a new document." ma:contentTypeScope="" ma:versionID="c1fb4b0fbaf26081a20b2a1f0891ec4f">
  <xsd:schema xmlns:xsd="http://www.w3.org/2001/XMLSchema" xmlns:xs="http://www.w3.org/2001/XMLSchema" xmlns:p="http://schemas.microsoft.com/office/2006/metadata/properties" xmlns:ns3="3f0ca8f2-e6e7-4e31-8531-a227737efee8" xmlns:ns4="df57c29c-2135-4498-aeae-25747b1bfed5" targetNamespace="http://schemas.microsoft.com/office/2006/metadata/properties" ma:root="true" ma:fieldsID="8117dd49de47fe9ce46241c7389c1da1" ns3:_="" ns4:_="">
    <xsd:import namespace="3f0ca8f2-e6e7-4e31-8531-a227737efee8"/>
    <xsd:import namespace="df57c29c-2135-4498-aeae-25747b1bfed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0ca8f2-e6e7-4e31-8531-a227737efe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57c29c-2135-4498-aeae-25747b1bfed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f0ca8f2-e6e7-4e31-8531-a227737efe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AFEB01D-B39F-4341-8A76-5D994D464576}"/>
</file>

<file path=customXml/itemProps2.xml><?xml version="1.0" encoding="utf-8"?>
<ds:datastoreItem xmlns:ds="http://schemas.openxmlformats.org/officeDocument/2006/customXml" ds:itemID="{2A02DF38-FE8A-4B4A-840D-9029582A689F}"/>
</file>

<file path=customXml/itemProps3.xml><?xml version="1.0" encoding="utf-8"?>
<ds:datastoreItem xmlns:ds="http://schemas.openxmlformats.org/officeDocument/2006/customXml" ds:itemID="{49F49C76-E81B-469F-9612-1200BE8276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Brigham Young University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Pedroza Romo</dc:creator>
  <cp:keywords/>
  <dc:description/>
  <cp:lastModifiedBy>David Bennett</cp:lastModifiedBy>
  <cp:revision/>
  <dcterms:created xsi:type="dcterms:W3CDTF">2024-02-14T18:40:33Z</dcterms:created>
  <dcterms:modified xsi:type="dcterms:W3CDTF">2026-07-13T18:55:09Z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0x010100B33D05691D733F49B02219D6E4ED2B6E</vt:lpwstr>
  </property>
</Properties>
</file>