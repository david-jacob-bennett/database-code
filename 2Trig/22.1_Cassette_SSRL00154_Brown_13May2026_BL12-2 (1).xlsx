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u-my.sharepoint.com/personal/jdm255_byu_edu/Documents/Documents/MoodyLab_Commons_OneDrive/SSRL_Diffraction_results/"/>
    </mc:Choice>
  </mc:AlternateContent>
  <xr:revisionPtr revIDLastSave="662" documentId="11_020EF5C302337AD33D18ABE7D351E5B36811542C" xr6:coauthVersionLast="47" xr6:coauthVersionMax="47" xr10:uidLastSave="{23709F2C-15A3-4C8B-B4DD-7234949FB391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tc={99A7A595-6405-4AE6-83DE-472223663B37}</author>
  </authors>
  <commentList>
    <comment ref="N46" authorId="0" shapeId="0" xr:uid="{99A7A595-6405-4AE6-83DE-472223663B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idea where this data is. I don't see it in Blue Brown, or in the parent folder.</t>
      </text>
    </comment>
  </commentList>
</comments>
</file>

<file path=xl/sharedStrings.xml><?xml version="1.0" encoding="utf-8"?>
<sst xmlns="http://schemas.openxmlformats.org/spreadsheetml/2006/main" count="1134" uniqueCount="360">
  <si>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</si>
  <si>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</si>
  <si>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</si>
  <si>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</si>
  <si>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</si>
  <si>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</si>
  <si>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</si>
  <si>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</si>
  <si>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</si>
  <si>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Compound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</si>
  <si>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</si>
  <si>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</si>
  <si>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</si>
  <si>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</si>
  <si>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</si>
  <si>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</si>
  <si>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</si>
  <si>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</si>
  <si>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deleted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</si>
  <si>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</si>
  <si>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</si>
  <si>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</si>
  <si>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</si>
  <si>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</si>
  <si>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</si>
  <si>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% completeness</t>
  </si>
  <si>
    <t>iso overall redundancy</t>
  </si>
  <si>
    <t>aniso resolution</t>
  </si>
  <si>
    <t>Anisotropic?</t>
  </si>
  <si>
    <t>Twin fraction</t>
  </si>
  <si>
    <t xml:space="preserve">distance to origin </t>
  </si>
  <si>
    <t>Height relative to origin</t>
  </si>
  <si>
    <t>Unit-cell solvent content</t>
  </si>
  <si>
    <t>searched for?</t>
  </si>
  <si>
    <t>LLG</t>
  </si>
  <si>
    <t>TFZ</t>
  </si>
  <si>
    <t>fit to dens</t>
  </si>
  <si>
    <t>poly seen, termini match?</t>
  </si>
  <si>
    <t>SSRL00154</t>
  </si>
  <si>
    <t>cassette</t>
  </si>
  <si>
    <t>A1</t>
  </si>
  <si>
    <t>SSRL88217 barcode pin</t>
  </si>
  <si>
    <t>Please place barcode pin in this port</t>
  </si>
  <si>
    <t>A2</t>
  </si>
  <si>
    <t>SUMO-2Trig-1T-PA-UBA, 01.30.2026/03.17.2026</t>
  </si>
  <si>
    <t>Bipyramidal Prism</t>
  </si>
  <si>
    <t>E1 Wizard 20 mg/mL</t>
  </si>
  <si>
    <t>Aidan Anderson</t>
  </si>
  <si>
    <t>Very little diffraction</t>
  </si>
  <si>
    <t>A3</t>
  </si>
  <si>
    <t>No diffraction</t>
  </si>
  <si>
    <t>A4</t>
  </si>
  <si>
    <t>Little diffraction, lots of ice</t>
  </si>
  <si>
    <t>A5</t>
  </si>
  <si>
    <t>Salt</t>
  </si>
  <si>
    <t>A6</t>
  </si>
  <si>
    <t>Ice</t>
  </si>
  <si>
    <t>A7</t>
  </si>
  <si>
    <t>A8</t>
  </si>
  <si>
    <t>B1</t>
  </si>
  <si>
    <t>B2</t>
  </si>
  <si>
    <t>B3</t>
  </si>
  <si>
    <t>E1 Wizard 5 mg/mL</t>
  </si>
  <si>
    <t>Miles Bradford</t>
  </si>
  <si>
    <t>B4</t>
  </si>
  <si>
    <t>E1 Wizard 5mg/mL</t>
  </si>
  <si>
    <t>B5</t>
  </si>
  <si>
    <t>B6</t>
  </si>
  <si>
    <t>No diffraction, ice</t>
  </si>
  <si>
    <t>B7</t>
  </si>
  <si>
    <t>B8</t>
  </si>
  <si>
    <t>C1</t>
  </si>
  <si>
    <t>C2</t>
  </si>
  <si>
    <t>C3</t>
  </si>
  <si>
    <t>C4</t>
  </si>
  <si>
    <t>No diffraction. Salt.</t>
  </si>
  <si>
    <t>C5</t>
  </si>
  <si>
    <t>95:5 2trig:1trig 1TEL-GG-UBA 5 mg/mL 3.26.26/4.2.26</t>
  </si>
  <si>
    <t>Rectangular Prism</t>
  </si>
  <si>
    <t>Salt Rx B12 5mg/ml</t>
  </si>
  <si>
    <t>No diffraction. Amorphous/glassy protein?</t>
  </si>
  <si>
    <t>C6</t>
  </si>
  <si>
    <t>C7</t>
  </si>
  <si>
    <t>C8</t>
  </si>
  <si>
    <t>D1</t>
  </si>
  <si>
    <t>Empty Pin</t>
  </si>
  <si>
    <t>D2</t>
  </si>
  <si>
    <t>D3</t>
  </si>
  <si>
    <t>bent loop, No diffraction</t>
  </si>
  <si>
    <t>D4</t>
  </si>
  <si>
    <t>99:1 2trig:1trig 1TEL-GG-UBA 5 mg/mL 3.26.26/4.2.26</t>
  </si>
  <si>
    <t>empty loop</t>
  </si>
  <si>
    <t>D5</t>
  </si>
  <si>
    <t>D6</t>
  </si>
  <si>
    <t>Salt Rx B11 5mg/ml</t>
  </si>
  <si>
    <t>eli wilson</t>
  </si>
  <si>
    <t>D7</t>
  </si>
  <si>
    <t>No diffraction, looks like salt</t>
  </si>
  <si>
    <t>D8</t>
  </si>
  <si>
    <t>No diffraction, some ice</t>
  </si>
  <si>
    <t>E1</t>
  </si>
  <si>
    <t>E2</t>
  </si>
  <si>
    <t>no crystal</t>
  </si>
  <si>
    <t>E3</t>
  </si>
  <si>
    <t>E4</t>
  </si>
  <si>
    <t>E5</t>
  </si>
  <si>
    <t>E6</t>
  </si>
  <si>
    <t>No diffraction, no ice,not salt</t>
  </si>
  <si>
    <t>E7</t>
  </si>
  <si>
    <t>No diffraction, ice,no crystal?</t>
  </si>
  <si>
    <t>E8</t>
  </si>
  <si>
    <t>Teardrop</t>
  </si>
  <si>
    <t>Salt Rx G1</t>
  </si>
  <si>
    <t>collected, 2A vis,diamond shape crystal</t>
  </si>
  <si>
    <t>okay</t>
  </si>
  <si>
    <t>0.4</t>
  </si>
  <si>
    <t>17.18</t>
  </si>
  <si>
    <t>None</t>
  </si>
  <si>
    <t>P61</t>
  </si>
  <si>
    <t>67.908 67.908 59.493 90.0 90.0 120.0</t>
  </si>
  <si>
    <t>1.741</t>
  </si>
  <si>
    <t>0.088</t>
  </si>
  <si>
    <t>13168</t>
  </si>
  <si>
    <t>82.0</t>
  </si>
  <si>
    <t>15.2</t>
  </si>
  <si>
    <t>1.738</t>
  </si>
  <si>
    <t>No</t>
  </si>
  <si>
    <t>E8-2</t>
  </si>
  <si>
    <t>collected, less smeary</t>
  </si>
  <si>
    <t>F1</t>
  </si>
  <si>
    <t>F2</t>
  </si>
  <si>
    <t>F3</t>
  </si>
  <si>
    <t>Salt Rx D1</t>
  </si>
  <si>
    <t>some driffraction at 8A</t>
  </si>
  <si>
    <t>F4</t>
  </si>
  <si>
    <t>collected,3.5A vis</t>
  </si>
  <si>
    <t>Garbage. Not worth tabulating.</t>
  </si>
  <si>
    <t>F5</t>
  </si>
  <si>
    <t>99:1 2trig:1trig 1TEL-GG-UBA 5 mg/mL 3.26.26/4.16.26</t>
  </si>
  <si>
    <t>Salt RX D7</t>
  </si>
  <si>
    <t>F6</t>
  </si>
  <si>
    <t>vis 3.3A, bent loop difficult to center, collected</t>
  </si>
  <si>
    <t>88 (86% of initial)</t>
  </si>
  <si>
    <t>.425</t>
  </si>
  <si>
    <t>14.6</t>
  </si>
  <si>
    <t>1073-1540</t>
  </si>
  <si>
    <t>No more</t>
  </si>
  <si>
    <t>67.234 67.234 60.515 90.0 90.0 120.0</t>
  </si>
  <si>
    <t>2.005</t>
  </si>
  <si>
    <t>.096</t>
  </si>
  <si>
    <t>10380</t>
  </si>
  <si>
    <t>98.8</t>
  </si>
  <si>
    <t>10.4</t>
  </si>
  <si>
    <t>1.889</t>
  </si>
  <si>
    <t>Yes?</t>
  </si>
  <si>
    <t>F7</t>
  </si>
  <si>
    <t>diffracted okay (3.4A), some ice, coould not center loop for collection</t>
  </si>
  <si>
    <t>F8</t>
  </si>
  <si>
    <t>excessively bent, empty</t>
  </si>
  <si>
    <t>G1</t>
  </si>
  <si>
    <t>2.2 A some mosaicity, coolected but forgot to add collect (fixed but maybe I forgot some meta data)</t>
  </si>
  <si>
    <t>Good</t>
  </si>
  <si>
    <t>49</t>
  </si>
  <si>
    <t>.475</t>
  </si>
  <si>
    <t>7.85</t>
  </si>
  <si>
    <t>1-1800</t>
  </si>
  <si>
    <t>67.681 67.681 59.001 90.0 90.0 120.0</t>
  </si>
  <si>
    <t>1.890</t>
  </si>
  <si>
    <t>0.200</t>
  </si>
  <si>
    <t>11554</t>
  </si>
  <si>
    <t>93.3</t>
  </si>
  <si>
    <t>1.813</t>
  </si>
  <si>
    <t>No?</t>
  </si>
  <si>
    <t>G2</t>
  </si>
  <si>
    <t>3A but bad ice, difficult to center</t>
  </si>
  <si>
    <t>G3</t>
  </si>
  <si>
    <t>G4</t>
  </si>
  <si>
    <t>did diffract but so much ice</t>
  </si>
  <si>
    <t>G5</t>
  </si>
  <si>
    <t>Shattered Dodecahedron</t>
  </si>
  <si>
    <t>Salt RX G10</t>
  </si>
  <si>
    <t>salt</t>
  </si>
  <si>
    <t>G6</t>
  </si>
  <si>
    <t>Dodecahedron</t>
  </si>
  <si>
    <t>Salt RX E10</t>
  </si>
  <si>
    <t>fun to look at but very mosaic and icy</t>
  </si>
  <si>
    <t>G7</t>
  </si>
  <si>
    <t>the crystal is so beautiful but it did not diffract</t>
  </si>
  <si>
    <t>G8</t>
  </si>
  <si>
    <t>ice and sideways loop so I couldn't see anythign</t>
  </si>
  <si>
    <t>H1</t>
  </si>
  <si>
    <t>one side had extreme mosaicity, the other barely diffracted to 8A</t>
  </si>
  <si>
    <t>H2</t>
  </si>
  <si>
    <t>2.7A smearing at some angles, collected twice (better raster for second time)</t>
  </si>
  <si>
    <t>H2-2</t>
  </si>
  <si>
    <t>Okay</t>
  </si>
  <si>
    <t>83%</t>
  </si>
  <si>
    <t>.5</t>
  </si>
  <si>
    <t>19.25</t>
  </si>
  <si>
    <t>68.319 68.319 56.965 90.0 90.0 120.0</t>
  </si>
  <si>
    <t>1.857</t>
  </si>
  <si>
    <t>.087</t>
  </si>
  <si>
    <t>12857</t>
  </si>
  <si>
    <t>99.9</t>
  </si>
  <si>
    <t>16.7</t>
  </si>
  <si>
    <t>1.685</t>
  </si>
  <si>
    <t>H3</t>
  </si>
  <si>
    <t>good diffraction but too much ice for me</t>
  </si>
  <si>
    <t>H4</t>
  </si>
  <si>
    <t>lovely, beautiful diffraction (okay, it's a little smeary) to 2.9 vis, collected</t>
  </si>
  <si>
    <t>82.8</t>
  </si>
  <si>
    <t>.55</t>
  </si>
  <si>
    <t>11.98</t>
  </si>
  <si>
    <t>68.115 68.115 57.361 90.0 90.0 120.0</t>
  </si>
  <si>
    <t>1.966</t>
  </si>
  <si>
    <t>.165</t>
  </si>
  <si>
    <t>10544</t>
  </si>
  <si>
    <t>97.1</t>
  </si>
  <si>
    <t>20.5</t>
  </si>
  <si>
    <t>1.8</t>
  </si>
  <si>
    <t>H5</t>
  </si>
  <si>
    <t>only ice</t>
  </si>
  <si>
    <t>H6</t>
  </si>
  <si>
    <t>ice</t>
  </si>
  <si>
    <t>H7</t>
  </si>
  <si>
    <t>Salt RX D2</t>
  </si>
  <si>
    <t>H8</t>
  </si>
  <si>
    <t>Salt RX A5</t>
  </si>
  <si>
    <t>I1</t>
  </si>
  <si>
    <t>I2</t>
  </si>
  <si>
    <t>I3</t>
  </si>
  <si>
    <t>looks like loml H4 but more smeary at certian angles</t>
  </si>
  <si>
    <t>I4</t>
  </si>
  <si>
    <t>beautiful from one angle, moasaic from another, I think it's a bent plate</t>
  </si>
  <si>
    <t>I5</t>
  </si>
  <si>
    <t>1TEL-GG-UBA-SUMO. 04.14.2026/05.04.2026</t>
  </si>
  <si>
    <t>SaltRx D3 23.2 mg</t>
  </si>
  <si>
    <t>Megan</t>
  </si>
  <si>
    <t>some diffraction but too much ice, come back if nothing else work</t>
  </si>
  <si>
    <t>I6</t>
  </si>
  <si>
    <t>10xHis-SUMO-1TEL-TV-vWa 1.17.2026/3.25.2026</t>
  </si>
  <si>
    <t>hexagonal plate</t>
  </si>
  <si>
    <t>G3 SaltRX 29mg/mL aggregate peak</t>
  </si>
  <si>
    <t>celeste</t>
  </si>
  <si>
    <t>I7</t>
  </si>
  <si>
    <t>I8</t>
  </si>
  <si>
    <t>B2 INDEX 29 mg/mL aggregate peak</t>
  </si>
  <si>
    <t>J1</t>
  </si>
  <si>
    <t>smeary, salt?</t>
  </si>
  <si>
    <t>J2</t>
  </si>
  <si>
    <t>minimal diffraction, smeary, salt?</t>
  </si>
  <si>
    <t>J3</t>
  </si>
  <si>
    <t>J4</t>
  </si>
  <si>
    <t>poor diffraction, icy, extra rings in addition to ice rings</t>
  </si>
  <si>
    <t>J5</t>
  </si>
  <si>
    <t>no diffraction, ice</t>
  </si>
  <si>
    <t>J6</t>
  </si>
  <si>
    <t>10xHis-SUMO-1TEL-TV-vWa 3.5.2026/3.25.2026</t>
  </si>
  <si>
    <t>hexagonal rod</t>
  </si>
  <si>
    <t>C3 wizard 5.24 mg/mL 1.5 M tris</t>
  </si>
  <si>
    <t xml:space="preserve">few spots, long smeary lines horizontally tangent to 4A </t>
  </si>
  <si>
    <t>J7</t>
  </si>
  <si>
    <t>J8</t>
  </si>
  <si>
    <t>empty loop?</t>
  </si>
  <si>
    <t>K1</t>
  </si>
  <si>
    <t xml:space="preserve">No diffraction, some ice </t>
  </si>
  <si>
    <t>K2</t>
  </si>
  <si>
    <t>No diffraction, some ice - note these last few have the weird smeary almost horizontal lines/curves</t>
  </si>
  <si>
    <t>K3</t>
  </si>
  <si>
    <t>some spots, appear to be in rings (some in ice rings and some in their own rings)</t>
  </si>
  <si>
    <t>K4</t>
  </si>
  <si>
    <t>lots of spotty rings at low and high resolution</t>
  </si>
  <si>
    <t>K5</t>
  </si>
  <si>
    <t>1TEL-GG-UBA-SUMO 04.14.2026/05.04.2026</t>
  </si>
  <si>
    <t>Index F11 23.2mg</t>
  </si>
  <si>
    <t>Wisdom Abiodun</t>
  </si>
  <si>
    <t>Diffracted 3.5A vis (mostly low res)</t>
  </si>
  <si>
    <t>K6</t>
  </si>
  <si>
    <t>Diffracted 2.6A vis, icy, most spots below 4.5A</t>
  </si>
  <si>
    <t>K7</t>
  </si>
  <si>
    <t>Diffracted 2.8A vis, icy, most spots below 4.0A</t>
  </si>
  <si>
    <t>K8</t>
  </si>
  <si>
    <t>Diffracted 2.15A vis, icy, most spots below 3.5A, loop is bent extra weird</t>
  </si>
  <si>
    <t>L1</t>
  </si>
  <si>
    <t>Poor diffraction, possibly twinned, icy, really strong ring at 4.5A</t>
  </si>
  <si>
    <t>L2</t>
  </si>
  <si>
    <t>Index G10 23.2 mg</t>
  </si>
  <si>
    <t>Smeary, circular, poor diffraction in low res range</t>
  </si>
  <si>
    <t>L3</t>
  </si>
  <si>
    <t>No diffraction, some really dark rings</t>
  </si>
  <si>
    <t>L4</t>
  </si>
  <si>
    <t>Index G11 23.2 mg</t>
  </si>
  <si>
    <t>Maybe no crystal?</t>
  </si>
  <si>
    <t>L5</t>
  </si>
  <si>
    <t>Collected, 1.5A vis, ice</t>
  </si>
  <si>
    <t>fair</t>
  </si>
  <si>
    <t>.746</t>
  </si>
  <si>
    <t>.3</t>
  </si>
  <si>
    <t>22.10</t>
  </si>
  <si>
    <t>955-1470</t>
  </si>
  <si>
    <t>P 61</t>
  </si>
  <si>
    <t>67.34   67.25   60.60      89.91   90.03  119.93</t>
  </si>
  <si>
    <t>1.456</t>
  </si>
  <si>
    <t>0.108</t>
  </si>
  <si>
    <t>25751</t>
  </si>
  <si>
    <t>94.2</t>
  </si>
  <si>
    <t xml:space="preserve">11.5 </t>
  </si>
  <si>
    <t>1.413</t>
  </si>
  <si>
    <t>L6</t>
  </si>
  <si>
    <t>Empty loop (also sideways and hard to see)</t>
  </si>
  <si>
    <t>L7</t>
  </si>
  <si>
    <t>Collected, 2.15A vis, some ice</t>
  </si>
  <si>
    <t>18.54</t>
  </si>
  <si>
    <t>369-1107</t>
  </si>
  <si>
    <t>67.08   67.27   59.44      90.14   90.04  119.77</t>
  </si>
  <si>
    <t>1.715</t>
  </si>
  <si>
    <t>0.177</t>
  </si>
  <si>
    <t>15401</t>
  </si>
  <si>
    <t>93.8</t>
  </si>
  <si>
    <t>11.7</t>
  </si>
  <si>
    <t>1.760</t>
  </si>
  <si>
    <t>L7-2</t>
  </si>
  <si>
    <t>Collected w/detector at 150mm</t>
  </si>
  <si>
    <t>.415</t>
  </si>
  <si>
    <t>.4</t>
  </si>
  <si>
    <t>17.79</t>
  </si>
  <si>
    <t>349-1031</t>
  </si>
  <si>
    <t>67.77   67.64   59.52      89.99   90.28  119.67</t>
  </si>
  <si>
    <t>2.014</t>
  </si>
  <si>
    <t>0.259</t>
  </si>
  <si>
    <t>9609</t>
  </si>
  <si>
    <t>12.8</t>
  </si>
  <si>
    <t>1.918</t>
  </si>
  <si>
    <t>L8</t>
  </si>
  <si>
    <t xml:space="preserve">bent loop, 2.9A vis, collected (but bent loop is going to cause some problems) </t>
  </si>
  <si>
    <t>.87</t>
  </si>
  <si>
    <t>18.59</t>
  </si>
  <si>
    <t>1-294, 817-903, 1303-1800</t>
  </si>
  <si>
    <t>only kept 350-700</t>
  </si>
  <si>
    <t>67.35   67.23   58.98      90.00   90.00  119.90</t>
  </si>
  <si>
    <t>1.791</t>
  </si>
  <si>
    <t>0.189</t>
  </si>
  <si>
    <t>13293</t>
  </si>
  <si>
    <t>92.8</t>
  </si>
  <si>
    <t>10.3</t>
  </si>
  <si>
    <t>1.761</t>
  </si>
  <si>
    <t>L8-2 (names frames_350-750)</t>
  </si>
  <si>
    <t>redid autoPROC with kept frames</t>
  </si>
  <si>
    <t>.835</t>
  </si>
  <si>
    <t>.35</t>
  </si>
  <si>
    <t>26.68</t>
  </si>
  <si>
    <t>none</t>
  </si>
  <si>
    <t>67.25   67.25   59.09      90.00   90.00  120.00</t>
  </si>
  <si>
    <t xml:space="preserve">1.829 </t>
  </si>
  <si>
    <t>0.144</t>
  </si>
  <si>
    <t>13362</t>
  </si>
  <si>
    <t>99.6</t>
  </si>
  <si>
    <t>4.5</t>
  </si>
  <si>
    <t xml:space="preserve">1.783 </t>
  </si>
  <si>
    <t>cd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</si>
</sst>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1"/>
      <name val="Arial"/>
    </font>
    <font>
      <sz val="11"/>
      <color rgb="FF242424"/>
      <name val="Aptos Narrow"/>
      <charset val="1"/>
    </font>
    <font>
      <u/>
      <sz val="10"/>
      <color theme="10"/>
      <name val="Arial"/>
      <family val="2"/>
      <charset val="1"/>
    </font>
    <font>
      <u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rgb="FF000000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9" fillId="0" borderId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9" fontId="9" fillId="0" borderId="0" xfId="2" applyNumberFormat="1" applyAlignment="1">
      <alignment horizontal="center"/>
    </xf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wrapText="1"/>
    </xf>
    <xf numFmtId="0" fontId="2" fillId="4" borderId="0" xfId="0" applyFont="1" applyFill="1" applyAlignment="1">
      <alignment horizontal="center"/>
    </xf>
    <xf numFmtId="49" fontId="0" fillId="4" borderId="0" xfId="0" applyNumberFormat="1" applyFill="1"/>
    <xf numFmtId="49" fontId="7" fillId="4" borderId="0" xfId="0" applyNumberFormat="1" applyFont="1" applyFill="1"/>
    <xf numFmtId="0" fontId="3" fillId="4" borderId="0" xfId="0" applyFont="1" applyFill="1"/>
    <xf numFmtId="49" fontId="1" fillId="4" borderId="0" xfId="0" applyNumberFormat="1" applyFont="1" applyFill="1"/>
    <xf numFmtId="49" fontId="1" fillId="0" borderId="0" xfId="0" applyNumberFormat="1" applyFont="1" applyAlignment="1">
      <alignment horizontal="center"/>
    </xf>
  </cellXfs>
  <cellStyles count="3">
    <cellStyle name="Hyperlink" xfId="1" builtinId="8"/>
    <cellStyle name="Normal" xfId="0" builtinId="0"/>
    <cellStyle name="Normal 2" xfId="2" xr:uid="{CF4EB8F7-A21E-4E3E-8E63-C3E42B040266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les Bradford" id="{962CC294-AC5A-4012-B22F-685FD115EC2B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6" dT="2026-06-01T21:23:09.97" personId="{962CC294-AC5A-4012-B22F-685FD115EC2B}" id="{99A7A595-6405-4AE6-83DE-472223663B37}">
    <text>No idea where this data is. I don't see it in Blue Brown, or in the parent folder.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92"/>
  <sheetViews>
    <sheetView tabSelected="1" zoomScaleNormal="100" workbookViewId="0">
      <pane ySplit="1" topLeftCell="T2" activePane="bottomLeft" state="frozen"/>
      <selection pane="bottomLeft" activeCell="AC1" sqref="AC1"/>
    </sheetView>
  </sheetViews>
  <sheetFormatPr defaultRowHeight="12.75" customHeight="1"/>
  <cols>
    <col min="1" max="1" width="11.7109375" style="7" hidden="1" customWidth="1"/>
    <col min="2" max="2" width="14.42578125" style="7" hidden="1" customWidth="1"/>
    <col min="3" max="3" width="8.85546875" style="7" hidden="1" customWidth="1"/>
    <col min="4" max="4" width="10.7109375" style="7" hidden="1" customWidth="1"/>
    <col min="5" max="5" width="51.42578125" style="7" customWidth="1"/>
    <col min="6" max="6" width="15.5703125" style="7" customWidth="1"/>
    <col min="7" max="7" width="32.42578125" style="7" customWidth="1"/>
    <col min="8" max="8" width="13.85546875" style="7" customWidth="1"/>
    <col min="9" max="9" width="12.28515625" style="7" customWidth="1"/>
    <col min="10" max="10" width="13.5703125" style="7" customWidth="1"/>
    <col min="11" max="12" width="8.85546875" style="7" customWidth="1"/>
    <col min="13" max="13" width="15.85546875" style="7" customWidth="1"/>
    <col min="14" max="14" width="28.5703125" style="1" customWidth="1"/>
    <col min="15" max="15" width="11" style="1" bestFit="1" customWidth="1"/>
    <col min="16" max="16" width="15.5703125" style="1" bestFit="1" customWidth="1"/>
    <col min="17" max="18" width="8.85546875" style="1" customWidth="1"/>
    <col min="19" max="19" width="22.5703125" style="1" customWidth="1"/>
    <col min="20" max="20" width="17.7109375" style="1" customWidth="1"/>
    <col min="21" max="21" width="8.85546875" style="1" customWidth="1"/>
    <col min="22" max="22" width="39.28515625" style="1" customWidth="1"/>
    <col min="23" max="1024" width="8.85546875" style="1" customWidth="1"/>
  </cols>
  <sheetData>
    <row r="1" spans="1:38" s="16" customFormat="1" ht="6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</row>
    <row r="2" spans="1:38" ht="15">
      <c r="A2" s="6" t="s">
        <v>38</v>
      </c>
      <c r="B2" s="6" t="s">
        <v>39</v>
      </c>
      <c r="C2" s="7" t="s">
        <v>40</v>
      </c>
      <c r="D2" s="7" t="s">
        <v>40</v>
      </c>
      <c r="E2" s="13" t="s">
        <v>41</v>
      </c>
      <c r="F2" s="7" t="s">
        <v>40</v>
      </c>
      <c r="G2" s="7" t="s">
        <v>42</v>
      </c>
      <c r="I2" s="9"/>
    </row>
    <row r="3" spans="1:38" ht="15">
      <c r="A3" s="6" t="s">
        <v>38</v>
      </c>
      <c r="B3" s="6" t="s">
        <v>39</v>
      </c>
      <c r="C3" s="7" t="s">
        <v>43</v>
      </c>
      <c r="D3" s="7" t="s">
        <v>43</v>
      </c>
      <c r="E3" s="8" t="s">
        <v>44</v>
      </c>
      <c r="F3" s="7" t="s">
        <v>43</v>
      </c>
      <c r="G3" s="3" t="s">
        <v>45</v>
      </c>
      <c r="I3" s="9" t="s">
        <v>46</v>
      </c>
      <c r="M3" s="4" t="s">
        <v>47</v>
      </c>
      <c r="N3" s="1" t="s">
        <v>48</v>
      </c>
    </row>
    <row r="4" spans="1:38" ht="15">
      <c r="A4" s="6" t="s">
        <v>38</v>
      </c>
      <c r="B4" s="6" t="s">
        <v>39</v>
      </c>
      <c r="C4" s="7" t="s">
        <v>49</v>
      </c>
      <c r="D4" s="7" t="s">
        <v>49</v>
      </c>
      <c r="E4" s="8" t="s">
        <v>44</v>
      </c>
      <c r="F4" s="7" t="s">
        <v>49</v>
      </c>
      <c r="G4" s="3" t="s">
        <v>45</v>
      </c>
      <c r="I4" s="9" t="s">
        <v>46</v>
      </c>
      <c r="M4" s="4" t="s">
        <v>47</v>
      </c>
      <c r="N4" s="1" t="s">
        <v>50</v>
      </c>
    </row>
    <row r="5" spans="1:38" ht="15">
      <c r="A5" s="6" t="s">
        <v>38</v>
      </c>
      <c r="B5" s="6" t="s">
        <v>39</v>
      </c>
      <c r="C5" s="7" t="s">
        <v>51</v>
      </c>
      <c r="D5" s="7" t="s">
        <v>51</v>
      </c>
      <c r="E5" s="8" t="s">
        <v>44</v>
      </c>
      <c r="F5" s="7" t="s">
        <v>51</v>
      </c>
      <c r="G5" s="3" t="s">
        <v>45</v>
      </c>
      <c r="I5" s="9" t="s">
        <v>46</v>
      </c>
      <c r="M5" s="4" t="s">
        <v>47</v>
      </c>
      <c r="N5" s="1" t="s">
        <v>52</v>
      </c>
    </row>
    <row r="6" spans="1:38" ht="15">
      <c r="A6" s="6" t="s">
        <v>38</v>
      </c>
      <c r="B6" s="6" t="s">
        <v>39</v>
      </c>
      <c r="C6" s="7" t="s">
        <v>53</v>
      </c>
      <c r="D6" s="7" t="s">
        <v>53</v>
      </c>
      <c r="E6" s="8" t="s">
        <v>44</v>
      </c>
      <c r="F6" s="7" t="s">
        <v>53</v>
      </c>
      <c r="G6" s="3" t="s">
        <v>45</v>
      </c>
      <c r="I6" s="9" t="s">
        <v>46</v>
      </c>
      <c r="M6" s="4" t="s">
        <v>47</v>
      </c>
      <c r="N6" s="1" t="s">
        <v>54</v>
      </c>
    </row>
    <row r="7" spans="1:38" ht="15">
      <c r="A7" s="6" t="s">
        <v>38</v>
      </c>
      <c r="B7" s="6" t="s">
        <v>39</v>
      </c>
      <c r="C7" s="7" t="s">
        <v>55</v>
      </c>
      <c r="D7" s="7" t="s">
        <v>55</v>
      </c>
      <c r="E7" s="8" t="s">
        <v>44</v>
      </c>
      <c r="F7" s="7" t="s">
        <v>55</v>
      </c>
      <c r="G7" s="3" t="s">
        <v>45</v>
      </c>
      <c r="I7" s="9" t="s">
        <v>46</v>
      </c>
      <c r="M7" s="4" t="s">
        <v>47</v>
      </c>
      <c r="N7" s="1" t="s">
        <v>56</v>
      </c>
    </row>
    <row r="8" spans="1:38" ht="15">
      <c r="A8" s="6" t="s">
        <v>38</v>
      </c>
      <c r="B8" s="6" t="s">
        <v>39</v>
      </c>
      <c r="C8" s="7" t="s">
        <v>57</v>
      </c>
      <c r="D8" s="7" t="s">
        <v>57</v>
      </c>
      <c r="E8" s="8" t="s">
        <v>44</v>
      </c>
      <c r="F8" s="7" t="s">
        <v>57</v>
      </c>
      <c r="G8" s="3" t="s">
        <v>45</v>
      </c>
      <c r="I8" s="9" t="s">
        <v>46</v>
      </c>
      <c r="M8" s="4" t="s">
        <v>47</v>
      </c>
      <c r="N8" s="1" t="s">
        <v>56</v>
      </c>
    </row>
    <row r="9" spans="1:38" ht="15">
      <c r="A9" s="6" t="s">
        <v>38</v>
      </c>
      <c r="B9" s="6" t="s">
        <v>39</v>
      </c>
      <c r="C9" s="7" t="s">
        <v>58</v>
      </c>
      <c r="D9" s="7" t="s">
        <v>58</v>
      </c>
      <c r="E9" s="8" t="s">
        <v>44</v>
      </c>
      <c r="F9" s="7" t="s">
        <v>58</v>
      </c>
      <c r="G9" s="3" t="s">
        <v>45</v>
      </c>
      <c r="I9" s="9" t="s">
        <v>46</v>
      </c>
      <c r="M9" s="4" t="s">
        <v>47</v>
      </c>
      <c r="N9" s="1" t="s">
        <v>56</v>
      </c>
    </row>
    <row r="10" spans="1:38" ht="15">
      <c r="A10" s="6" t="s">
        <v>38</v>
      </c>
      <c r="B10" s="6" t="s">
        <v>39</v>
      </c>
      <c r="C10" s="7" t="s">
        <v>59</v>
      </c>
      <c r="D10" s="7" t="s">
        <v>59</v>
      </c>
      <c r="E10" s="8" t="s">
        <v>44</v>
      </c>
      <c r="F10" s="7" t="s">
        <v>59</v>
      </c>
      <c r="G10" s="3" t="s">
        <v>45</v>
      </c>
      <c r="I10" s="9" t="s">
        <v>46</v>
      </c>
      <c r="M10" s="4" t="s">
        <v>47</v>
      </c>
      <c r="N10" s="1" t="s">
        <v>56</v>
      </c>
    </row>
    <row r="11" spans="1:38" ht="15">
      <c r="A11" s="6" t="s">
        <v>38</v>
      </c>
      <c r="B11" s="6" t="s">
        <v>39</v>
      </c>
      <c r="C11" s="7" t="s">
        <v>60</v>
      </c>
      <c r="D11" s="7" t="s">
        <v>60</v>
      </c>
      <c r="E11" s="8" t="s">
        <v>44</v>
      </c>
      <c r="F11" s="7" t="s">
        <v>60</v>
      </c>
      <c r="G11" s="3" t="s">
        <v>45</v>
      </c>
      <c r="I11" s="9" t="s">
        <v>46</v>
      </c>
      <c r="M11" s="4" t="s">
        <v>47</v>
      </c>
      <c r="N11" s="1" t="s">
        <v>50</v>
      </c>
    </row>
    <row r="12" spans="1:38" ht="15">
      <c r="A12" s="6" t="s">
        <v>38</v>
      </c>
      <c r="B12" s="6" t="s">
        <v>39</v>
      </c>
      <c r="C12" s="7" t="s">
        <v>61</v>
      </c>
      <c r="D12" s="7" t="s">
        <v>61</v>
      </c>
      <c r="E12" s="8" t="s">
        <v>44</v>
      </c>
      <c r="F12" s="7" t="s">
        <v>61</v>
      </c>
      <c r="G12" s="3" t="s">
        <v>45</v>
      </c>
      <c r="I12" s="9" t="s">
        <v>62</v>
      </c>
      <c r="M12" s="4" t="s">
        <v>63</v>
      </c>
      <c r="N12" s="1" t="s">
        <v>50</v>
      </c>
    </row>
    <row r="13" spans="1:38" ht="15">
      <c r="A13" s="6" t="s">
        <v>38</v>
      </c>
      <c r="B13" s="6" t="s">
        <v>39</v>
      </c>
      <c r="C13" s="7" t="s">
        <v>64</v>
      </c>
      <c r="D13" s="7" t="s">
        <v>64</v>
      </c>
      <c r="E13" s="8" t="s">
        <v>44</v>
      </c>
      <c r="F13" s="7" t="s">
        <v>64</v>
      </c>
      <c r="G13" s="3" t="s">
        <v>45</v>
      </c>
      <c r="I13" s="9" t="s">
        <v>65</v>
      </c>
      <c r="M13" s="4" t="s">
        <v>47</v>
      </c>
      <c r="N13" s="1" t="s">
        <v>50</v>
      </c>
    </row>
    <row r="14" spans="1:38" ht="15">
      <c r="A14" s="6" t="s">
        <v>38</v>
      </c>
      <c r="B14" s="6" t="s">
        <v>39</v>
      </c>
      <c r="C14" s="7" t="s">
        <v>66</v>
      </c>
      <c r="D14" s="7" t="s">
        <v>66</v>
      </c>
      <c r="E14" s="8" t="s">
        <v>44</v>
      </c>
      <c r="F14" s="7" t="s">
        <v>66</v>
      </c>
      <c r="G14" s="3" t="s">
        <v>45</v>
      </c>
      <c r="I14" s="9" t="s">
        <v>62</v>
      </c>
      <c r="M14" s="4" t="s">
        <v>47</v>
      </c>
      <c r="N14" s="1" t="s">
        <v>50</v>
      </c>
    </row>
    <row r="15" spans="1:38" ht="15">
      <c r="A15" s="6" t="s">
        <v>38</v>
      </c>
      <c r="B15" s="6" t="s">
        <v>39</v>
      </c>
      <c r="C15" s="7" t="s">
        <v>67</v>
      </c>
      <c r="D15" s="7" t="s">
        <v>67</v>
      </c>
      <c r="E15" s="8" t="s">
        <v>44</v>
      </c>
      <c r="F15" s="7" t="s">
        <v>67</v>
      </c>
      <c r="G15" s="3" t="s">
        <v>45</v>
      </c>
      <c r="I15" s="9" t="s">
        <v>62</v>
      </c>
      <c r="M15" s="4" t="s">
        <v>47</v>
      </c>
      <c r="N15" s="1" t="s">
        <v>68</v>
      </c>
    </row>
    <row r="16" spans="1:38" ht="15">
      <c r="A16" s="6" t="s">
        <v>38</v>
      </c>
      <c r="B16" s="6" t="s">
        <v>39</v>
      </c>
      <c r="C16" s="7" t="s">
        <v>69</v>
      </c>
      <c r="D16" s="7" t="s">
        <v>69</v>
      </c>
      <c r="E16" s="8" t="s">
        <v>44</v>
      </c>
      <c r="F16" s="7" t="s">
        <v>69</v>
      </c>
      <c r="G16" s="3" t="s">
        <v>45</v>
      </c>
      <c r="I16" s="9" t="s">
        <v>65</v>
      </c>
      <c r="M16" s="4" t="s">
        <v>47</v>
      </c>
      <c r="N16" s="1" t="s">
        <v>50</v>
      </c>
    </row>
    <row r="17" spans="1:15" ht="15">
      <c r="A17" s="6" t="s">
        <v>38</v>
      </c>
      <c r="B17" s="6" t="s">
        <v>39</v>
      </c>
      <c r="C17" s="7" t="s">
        <v>70</v>
      </c>
      <c r="D17" s="7" t="s">
        <v>70</v>
      </c>
      <c r="E17" s="8" t="s">
        <v>44</v>
      </c>
      <c r="F17" s="7" t="s">
        <v>70</v>
      </c>
      <c r="G17" s="3" t="s">
        <v>45</v>
      </c>
      <c r="I17" s="9" t="s">
        <v>62</v>
      </c>
      <c r="M17" s="4" t="s">
        <v>47</v>
      </c>
      <c r="N17" s="1" t="s">
        <v>50</v>
      </c>
    </row>
    <row r="18" spans="1:15" ht="15">
      <c r="A18" s="6" t="s">
        <v>38</v>
      </c>
      <c r="B18" s="6" t="s">
        <v>39</v>
      </c>
      <c r="C18" s="7" t="s">
        <v>71</v>
      </c>
      <c r="D18" s="7" t="s">
        <v>71</v>
      </c>
      <c r="E18" s="8" t="s">
        <v>44</v>
      </c>
      <c r="F18" s="7" t="s">
        <v>71</v>
      </c>
      <c r="G18" s="3" t="s">
        <v>45</v>
      </c>
      <c r="I18" s="9" t="s">
        <v>65</v>
      </c>
      <c r="M18" s="4" t="s">
        <v>47</v>
      </c>
      <c r="N18" s="1" t="s">
        <v>50</v>
      </c>
    </row>
    <row r="19" spans="1:15" ht="15">
      <c r="A19" s="6" t="s">
        <v>38</v>
      </c>
      <c r="B19" s="6" t="s">
        <v>39</v>
      </c>
      <c r="C19" s="7" t="s">
        <v>72</v>
      </c>
      <c r="D19" s="7" t="s">
        <v>72</v>
      </c>
      <c r="E19" s="8" t="s">
        <v>44</v>
      </c>
      <c r="F19" s="7" t="s">
        <v>72</v>
      </c>
      <c r="G19" s="3" t="s">
        <v>45</v>
      </c>
      <c r="I19" s="9" t="s">
        <v>65</v>
      </c>
      <c r="M19" s="4" t="s">
        <v>47</v>
      </c>
      <c r="N19" s="1" t="s">
        <v>50</v>
      </c>
    </row>
    <row r="20" spans="1:15" ht="15">
      <c r="A20" s="6" t="s">
        <v>38</v>
      </c>
      <c r="B20" s="6" t="s">
        <v>39</v>
      </c>
      <c r="C20" s="7" t="s">
        <v>73</v>
      </c>
      <c r="D20" s="7" t="s">
        <v>73</v>
      </c>
      <c r="E20" s="8" t="s">
        <v>44</v>
      </c>
      <c r="F20" s="7" t="s">
        <v>73</v>
      </c>
      <c r="G20" s="3" t="s">
        <v>45</v>
      </c>
      <c r="I20" s="9" t="s">
        <v>62</v>
      </c>
      <c r="M20" s="4" t="s">
        <v>47</v>
      </c>
      <c r="N20" s="1" t="s">
        <v>50</v>
      </c>
    </row>
    <row r="21" spans="1:15" ht="15">
      <c r="A21" s="6" t="s">
        <v>38</v>
      </c>
      <c r="B21" s="6" t="s">
        <v>39</v>
      </c>
      <c r="C21" s="7" t="s">
        <v>74</v>
      </c>
      <c r="D21" s="7" t="s">
        <v>74</v>
      </c>
      <c r="E21" s="8" t="s">
        <v>44</v>
      </c>
      <c r="F21" s="7" t="s">
        <v>74</v>
      </c>
      <c r="G21" s="3" t="s">
        <v>45</v>
      </c>
      <c r="I21" s="9" t="s">
        <v>65</v>
      </c>
      <c r="M21" s="4" t="s">
        <v>47</v>
      </c>
      <c r="N21" s="1" t="s">
        <v>75</v>
      </c>
    </row>
    <row r="22" spans="1:15" ht="25.5">
      <c r="A22" s="6" t="s">
        <v>38</v>
      </c>
      <c r="B22" s="6" t="s">
        <v>39</v>
      </c>
      <c r="C22" s="7" t="s">
        <v>76</v>
      </c>
      <c r="D22" s="7" t="s">
        <v>76</v>
      </c>
      <c r="E22" s="8" t="s">
        <v>77</v>
      </c>
      <c r="F22" s="7" t="s">
        <v>76</v>
      </c>
      <c r="G22" s="3" t="s">
        <v>78</v>
      </c>
      <c r="I22" s="2" t="s">
        <v>79</v>
      </c>
      <c r="M22" s="5" t="s">
        <v>47</v>
      </c>
      <c r="N22" s="1" t="s">
        <v>80</v>
      </c>
    </row>
    <row r="23" spans="1:15" ht="25.5">
      <c r="A23" s="6" t="s">
        <v>38</v>
      </c>
      <c r="B23" s="6" t="s">
        <v>39</v>
      </c>
      <c r="C23" s="7" t="s">
        <v>81</v>
      </c>
      <c r="D23" s="7" t="s">
        <v>81</v>
      </c>
      <c r="E23" s="8" t="s">
        <v>77</v>
      </c>
      <c r="F23" s="7" t="s">
        <v>81</v>
      </c>
      <c r="G23" s="3" t="s">
        <v>78</v>
      </c>
      <c r="I23" s="2" t="s">
        <v>79</v>
      </c>
      <c r="M23" s="5" t="s">
        <v>47</v>
      </c>
      <c r="N23" s="1" t="s">
        <v>50</v>
      </c>
    </row>
    <row r="24" spans="1:15" ht="25.5">
      <c r="A24" s="6" t="s">
        <v>38</v>
      </c>
      <c r="B24" s="6" t="s">
        <v>39</v>
      </c>
      <c r="C24" s="7" t="s">
        <v>82</v>
      </c>
      <c r="D24" s="7" t="s">
        <v>82</v>
      </c>
      <c r="E24" s="8" t="s">
        <v>77</v>
      </c>
      <c r="F24" s="7" t="s">
        <v>82</v>
      </c>
      <c r="G24" s="3" t="s">
        <v>78</v>
      </c>
      <c r="I24" s="2" t="s">
        <v>79</v>
      </c>
      <c r="M24" s="5" t="s">
        <v>47</v>
      </c>
      <c r="N24" s="1" t="s">
        <v>50</v>
      </c>
    </row>
    <row r="25" spans="1:15" ht="25.5">
      <c r="A25" s="6" t="s">
        <v>38</v>
      </c>
      <c r="B25" s="6" t="s">
        <v>39</v>
      </c>
      <c r="C25" s="7" t="s">
        <v>83</v>
      </c>
      <c r="D25" s="7" t="s">
        <v>83</v>
      </c>
      <c r="E25" s="8" t="s">
        <v>77</v>
      </c>
      <c r="F25" s="7" t="s">
        <v>83</v>
      </c>
      <c r="G25" s="3" t="s">
        <v>78</v>
      </c>
      <c r="I25" s="2" t="s">
        <v>79</v>
      </c>
      <c r="M25" s="5" t="s">
        <v>47</v>
      </c>
      <c r="N25" s="1" t="s">
        <v>50</v>
      </c>
    </row>
    <row r="26" spans="1:15" ht="25.5">
      <c r="A26" s="6" t="s">
        <v>38</v>
      </c>
      <c r="B26" s="6" t="s">
        <v>39</v>
      </c>
      <c r="C26" s="7" t="s">
        <v>84</v>
      </c>
      <c r="D26" s="7" t="s">
        <v>84</v>
      </c>
      <c r="E26" s="8" t="s">
        <v>85</v>
      </c>
      <c r="F26" s="7" t="s">
        <v>84</v>
      </c>
      <c r="G26" s="3"/>
      <c r="I26" s="2" t="s">
        <v>79</v>
      </c>
      <c r="M26" s="5" t="s">
        <v>47</v>
      </c>
    </row>
    <row r="27" spans="1:15" ht="25.5">
      <c r="A27" s="6" t="s">
        <v>38</v>
      </c>
      <c r="B27" s="6" t="s">
        <v>39</v>
      </c>
      <c r="C27" s="7" t="s">
        <v>86</v>
      </c>
      <c r="D27" s="7" t="s">
        <v>86</v>
      </c>
      <c r="E27" s="8" t="s">
        <v>77</v>
      </c>
      <c r="F27" s="7" t="s">
        <v>86</v>
      </c>
      <c r="G27" s="3" t="s">
        <v>78</v>
      </c>
      <c r="I27" s="2" t="s">
        <v>79</v>
      </c>
      <c r="M27" s="5" t="s">
        <v>47</v>
      </c>
      <c r="N27" s="1" t="s">
        <v>50</v>
      </c>
    </row>
    <row r="28" spans="1:15" ht="25.5">
      <c r="A28" s="6" t="s">
        <v>38</v>
      </c>
      <c r="B28" s="6" t="s">
        <v>39</v>
      </c>
      <c r="C28" s="7" t="s">
        <v>87</v>
      </c>
      <c r="D28" s="7" t="s">
        <v>87</v>
      </c>
      <c r="E28" s="8" t="s">
        <v>77</v>
      </c>
      <c r="F28" s="7" t="s">
        <v>87</v>
      </c>
      <c r="G28" s="3" t="s">
        <v>78</v>
      </c>
      <c r="I28" s="2" t="s">
        <v>79</v>
      </c>
      <c r="M28" s="5" t="s">
        <v>47</v>
      </c>
      <c r="N28" s="1" t="s">
        <v>88</v>
      </c>
    </row>
    <row r="29" spans="1:15" ht="25.5">
      <c r="A29" s="6" t="s">
        <v>38</v>
      </c>
      <c r="B29" s="6" t="s">
        <v>39</v>
      </c>
      <c r="C29" s="7" t="s">
        <v>89</v>
      </c>
      <c r="D29" s="7" t="s">
        <v>89</v>
      </c>
      <c r="E29" s="8" t="s">
        <v>90</v>
      </c>
      <c r="F29" s="7" t="s">
        <v>89</v>
      </c>
      <c r="G29" s="3" t="s">
        <v>78</v>
      </c>
      <c r="I29" s="2" t="s">
        <v>79</v>
      </c>
      <c r="M29" s="5" t="s">
        <v>47</v>
      </c>
      <c r="N29" s="1" t="s">
        <v>91</v>
      </c>
    </row>
    <row r="30" spans="1:15" ht="26.25">
      <c r="A30" s="6" t="s">
        <v>38</v>
      </c>
      <c r="B30" s="6" t="s">
        <v>39</v>
      </c>
      <c r="C30" s="7" t="s">
        <v>92</v>
      </c>
      <c r="D30" s="7" t="s">
        <v>92</v>
      </c>
      <c r="E30" s="9" t="s">
        <v>90</v>
      </c>
      <c r="F30" s="7" t="s">
        <v>92</v>
      </c>
      <c r="G30" s="3" t="s">
        <v>78</v>
      </c>
      <c r="I30" s="2" t="s">
        <v>79</v>
      </c>
      <c r="M30" s="5" t="s">
        <v>47</v>
      </c>
      <c r="N30" t="s">
        <v>50</v>
      </c>
    </row>
    <row r="31" spans="1:15" ht="26.25">
      <c r="A31" s="6" t="s">
        <v>38</v>
      </c>
      <c r="B31" s="6" t="s">
        <v>39</v>
      </c>
      <c r="C31" s="7" t="s">
        <v>93</v>
      </c>
      <c r="D31" s="7" t="s">
        <v>93</v>
      </c>
      <c r="E31" s="9" t="s">
        <v>90</v>
      </c>
      <c r="F31" s="7" t="s">
        <v>93</v>
      </c>
      <c r="G31" s="3" t="s">
        <v>78</v>
      </c>
      <c r="I31" s="2" t="s">
        <v>94</v>
      </c>
      <c r="M31" s="5" t="s">
        <v>95</v>
      </c>
      <c r="N31" t="s">
        <v>50</v>
      </c>
    </row>
    <row r="32" spans="1:15" ht="26.25">
      <c r="A32" s="6" t="s">
        <v>38</v>
      </c>
      <c r="B32" s="6" t="s">
        <v>39</v>
      </c>
      <c r="C32" s="7" t="s">
        <v>96</v>
      </c>
      <c r="D32" s="7" t="s">
        <v>96</v>
      </c>
      <c r="E32" s="9" t="s">
        <v>90</v>
      </c>
      <c r="F32" s="7" t="s">
        <v>96</v>
      </c>
      <c r="G32" s="3" t="s">
        <v>78</v>
      </c>
      <c r="I32" s="2" t="s">
        <v>94</v>
      </c>
      <c r="M32" s="5" t="s">
        <v>95</v>
      </c>
      <c r="N32" t="s">
        <v>97</v>
      </c>
      <c r="O32"/>
    </row>
    <row r="33" spans="1:29" ht="25.5">
      <c r="A33" s="6" t="s">
        <v>38</v>
      </c>
      <c r="B33" s="6" t="s">
        <v>39</v>
      </c>
      <c r="C33" s="7" t="s">
        <v>98</v>
      </c>
      <c r="D33" s="7" t="s">
        <v>98</v>
      </c>
      <c r="E33" s="8" t="s">
        <v>77</v>
      </c>
      <c r="F33" s="7" t="s">
        <v>98</v>
      </c>
      <c r="G33" s="3" t="s">
        <v>78</v>
      </c>
      <c r="I33" s="2" t="s">
        <v>94</v>
      </c>
      <c r="M33" s="5" t="s">
        <v>95</v>
      </c>
      <c r="N33" t="s">
        <v>99</v>
      </c>
    </row>
    <row r="34" spans="1:29" ht="25.5">
      <c r="A34" s="6" t="s">
        <v>38</v>
      </c>
      <c r="B34" s="6" t="s">
        <v>39</v>
      </c>
      <c r="C34" s="7" t="s">
        <v>100</v>
      </c>
      <c r="D34" s="7" t="s">
        <v>100</v>
      </c>
      <c r="E34" s="8" t="s">
        <v>77</v>
      </c>
      <c r="F34" s="7" t="s">
        <v>100</v>
      </c>
      <c r="G34" s="3" t="s">
        <v>78</v>
      </c>
      <c r="I34" s="2" t="s">
        <v>94</v>
      </c>
      <c r="M34" s="5" t="s">
        <v>95</v>
      </c>
      <c r="N34" s="1" t="s">
        <v>91</v>
      </c>
    </row>
    <row r="35" spans="1:29" ht="25.5">
      <c r="A35" s="6" t="s">
        <v>38</v>
      </c>
      <c r="B35" s="6" t="s">
        <v>39</v>
      </c>
      <c r="C35" s="7" t="s">
        <v>101</v>
      </c>
      <c r="D35" s="7" t="s">
        <v>101</v>
      </c>
      <c r="E35" s="8" t="s">
        <v>90</v>
      </c>
      <c r="F35" s="7" t="s">
        <v>101</v>
      </c>
      <c r="G35" s="3" t="s">
        <v>78</v>
      </c>
      <c r="I35" s="2" t="s">
        <v>94</v>
      </c>
      <c r="M35" s="5" t="s">
        <v>47</v>
      </c>
      <c r="N35" s="1" t="s">
        <v>102</v>
      </c>
    </row>
    <row r="36" spans="1:29" ht="26.25">
      <c r="A36" s="6" t="s">
        <v>38</v>
      </c>
      <c r="B36" s="6" t="s">
        <v>39</v>
      </c>
      <c r="C36" s="7" t="s">
        <v>103</v>
      </c>
      <c r="D36" s="7" t="s">
        <v>103</v>
      </c>
      <c r="E36" s="9" t="s">
        <v>90</v>
      </c>
      <c r="F36" s="7" t="s">
        <v>103</v>
      </c>
      <c r="G36" s="3" t="s">
        <v>78</v>
      </c>
      <c r="I36" s="2" t="s">
        <v>94</v>
      </c>
      <c r="M36" s="5" t="s">
        <v>47</v>
      </c>
      <c r="N36" s="1" t="s">
        <v>102</v>
      </c>
    </row>
    <row r="37" spans="1:29" ht="26.25">
      <c r="A37" s="6" t="s">
        <v>38</v>
      </c>
      <c r="B37" s="6" t="s">
        <v>39</v>
      </c>
      <c r="C37" s="7" t="s">
        <v>104</v>
      </c>
      <c r="D37" s="7" t="s">
        <v>104</v>
      </c>
      <c r="E37" s="9" t="s">
        <v>90</v>
      </c>
      <c r="F37" s="7" t="s">
        <v>104</v>
      </c>
      <c r="G37" s="3" t="s">
        <v>78</v>
      </c>
      <c r="I37" s="2" t="s">
        <v>94</v>
      </c>
      <c r="M37" s="5" t="s">
        <v>47</v>
      </c>
      <c r="N37" t="s">
        <v>99</v>
      </c>
    </row>
    <row r="38" spans="1:29" ht="26.25">
      <c r="A38" s="6" t="s">
        <v>38</v>
      </c>
      <c r="B38" s="6" t="s">
        <v>39</v>
      </c>
      <c r="C38" s="7" t="s">
        <v>105</v>
      </c>
      <c r="D38" s="7" t="s">
        <v>105</v>
      </c>
      <c r="E38" s="9" t="s">
        <v>90</v>
      </c>
      <c r="F38" s="7" t="s">
        <v>105</v>
      </c>
      <c r="G38" s="3" t="s">
        <v>78</v>
      </c>
      <c r="I38" s="2" t="s">
        <v>94</v>
      </c>
      <c r="M38" s="5" t="s">
        <v>47</v>
      </c>
      <c r="N38" t="s">
        <v>97</v>
      </c>
    </row>
    <row r="39" spans="1:29" ht="25.5">
      <c r="A39" s="6" t="s">
        <v>38</v>
      </c>
      <c r="B39" s="6" t="s">
        <v>39</v>
      </c>
      <c r="C39" s="7" t="s">
        <v>106</v>
      </c>
      <c r="D39" s="7" t="s">
        <v>106</v>
      </c>
      <c r="E39" s="8" t="s">
        <v>90</v>
      </c>
      <c r="F39" s="7" t="s">
        <v>106</v>
      </c>
      <c r="G39" s="3" t="s">
        <v>78</v>
      </c>
      <c r="I39" s="2" t="s">
        <v>94</v>
      </c>
      <c r="M39" s="5" t="s">
        <v>47</v>
      </c>
      <c r="N39" t="s">
        <v>107</v>
      </c>
    </row>
    <row r="40" spans="1:29" ht="26.25">
      <c r="A40" s="6" t="s">
        <v>38</v>
      </c>
      <c r="B40" s="6" t="s">
        <v>39</v>
      </c>
      <c r="C40" s="7" t="s">
        <v>108</v>
      </c>
      <c r="D40" s="7" t="s">
        <v>108</v>
      </c>
      <c r="E40" s="9" t="s">
        <v>90</v>
      </c>
      <c r="F40" s="7" t="s">
        <v>108</v>
      </c>
      <c r="G40" s="3" t="s">
        <v>78</v>
      </c>
      <c r="I40" s="2" t="s">
        <v>94</v>
      </c>
      <c r="M40" s="5" t="s">
        <v>47</v>
      </c>
      <c r="N40" t="s">
        <v>109</v>
      </c>
    </row>
    <row r="41" spans="1:29">
      <c r="A41" s="6" t="s">
        <v>38</v>
      </c>
      <c r="B41" s="6" t="s">
        <v>39</v>
      </c>
      <c r="C41" s="7" t="s">
        <v>110</v>
      </c>
      <c r="D41" s="7" t="s">
        <v>110</v>
      </c>
      <c r="E41" s="8" t="s">
        <v>90</v>
      </c>
      <c r="F41" s="7" t="s">
        <v>110</v>
      </c>
      <c r="G41" s="3" t="s">
        <v>111</v>
      </c>
      <c r="I41" s="2" t="s">
        <v>112</v>
      </c>
      <c r="M41" s="5" t="s">
        <v>47</v>
      </c>
      <c r="N41" s="14" t="s">
        <v>113</v>
      </c>
      <c r="O41" s="1" t="s">
        <v>114</v>
      </c>
      <c r="P41">
        <f>(44+22+16)/(100-8.9)</f>
        <v>0.9001097694840835</v>
      </c>
      <c r="Q41" s="1" t="s">
        <v>115</v>
      </c>
      <c r="R41" s="1" t="s">
        <v>116</v>
      </c>
      <c r="T41" s="1" t="s">
        <v>117</v>
      </c>
      <c r="U41" s="1" t="s">
        <v>118</v>
      </c>
      <c r="V41" s="1" t="s">
        <v>119</v>
      </c>
      <c r="W41" s="1" t="s">
        <v>120</v>
      </c>
      <c r="X41" s="1" t="s">
        <v>121</v>
      </c>
      <c r="Y41" s="1" t="s">
        <v>122</v>
      </c>
      <c r="Z41" s="1" t="s">
        <v>123</v>
      </c>
      <c r="AA41" s="1" t="s">
        <v>124</v>
      </c>
      <c r="AB41" s="1" t="s">
        <v>125</v>
      </c>
      <c r="AC41" s="1" t="s">
        <v>126</v>
      </c>
    </row>
    <row r="42" spans="1:29">
      <c r="A42" s="6"/>
      <c r="B42" s="6"/>
      <c r="E42" s="8"/>
      <c r="F42" s="7" t="s">
        <v>127</v>
      </c>
      <c r="G42" s="3"/>
      <c r="I42" s="2"/>
      <c r="M42" s="5"/>
      <c r="N42" s="14" t="s">
        <v>128</v>
      </c>
    </row>
    <row r="43" spans="1:29">
      <c r="A43" s="6" t="s">
        <v>38</v>
      </c>
      <c r="B43" s="6" t="s">
        <v>39</v>
      </c>
      <c r="C43" s="7" t="s">
        <v>129</v>
      </c>
      <c r="D43" s="7" t="s">
        <v>129</v>
      </c>
      <c r="E43" s="8" t="s">
        <v>90</v>
      </c>
      <c r="F43" s="7" t="s">
        <v>129</v>
      </c>
      <c r="G43" s="3" t="s">
        <v>111</v>
      </c>
      <c r="I43" s="2" t="s">
        <v>112</v>
      </c>
      <c r="M43" s="5" t="s">
        <v>47</v>
      </c>
      <c r="N43" s="1" t="s">
        <v>50</v>
      </c>
    </row>
    <row r="44" spans="1:29" ht="15">
      <c r="A44" s="6" t="s">
        <v>38</v>
      </c>
      <c r="B44" s="6" t="s">
        <v>39</v>
      </c>
      <c r="C44" s="7" t="s">
        <v>130</v>
      </c>
      <c r="D44" s="7" t="s">
        <v>130</v>
      </c>
      <c r="E44" s="9" t="s">
        <v>85</v>
      </c>
      <c r="F44" s="7" t="s">
        <v>130</v>
      </c>
      <c r="G44" s="3"/>
      <c r="I44" s="2" t="s">
        <v>112</v>
      </c>
      <c r="M44" s="5" t="s">
        <v>47</v>
      </c>
    </row>
    <row r="45" spans="1:29" ht="15">
      <c r="A45" s="6" t="s">
        <v>38</v>
      </c>
      <c r="B45" s="6" t="s">
        <v>39</v>
      </c>
      <c r="C45" s="7" t="s">
        <v>131</v>
      </c>
      <c r="D45" s="7" t="s">
        <v>131</v>
      </c>
      <c r="E45" s="9" t="s">
        <v>77</v>
      </c>
      <c r="F45" s="7" t="s">
        <v>131</v>
      </c>
      <c r="G45" s="3" t="s">
        <v>111</v>
      </c>
      <c r="I45" s="2" t="s">
        <v>132</v>
      </c>
      <c r="M45" s="5" t="s">
        <v>47</v>
      </c>
      <c r="N45" s="1" t="s">
        <v>133</v>
      </c>
    </row>
    <row r="46" spans="1:29" ht="15">
      <c r="A46" s="6" t="s">
        <v>38</v>
      </c>
      <c r="B46" s="6" t="s">
        <v>39</v>
      </c>
      <c r="C46" s="7" t="s">
        <v>134</v>
      </c>
      <c r="D46" s="7" t="s">
        <v>134</v>
      </c>
      <c r="E46" s="9" t="s">
        <v>77</v>
      </c>
      <c r="F46" s="7" t="s">
        <v>134</v>
      </c>
      <c r="G46" s="3" t="s">
        <v>111</v>
      </c>
      <c r="I46" s="2" t="s">
        <v>132</v>
      </c>
      <c r="M46" s="5" t="s">
        <v>47</v>
      </c>
      <c r="N46" s="14" t="s">
        <v>135</v>
      </c>
      <c r="O46" s="1" t="s">
        <v>136</v>
      </c>
    </row>
    <row r="47" spans="1:29">
      <c r="A47" s="6" t="s">
        <v>38</v>
      </c>
      <c r="B47" s="6" t="s">
        <v>39</v>
      </c>
      <c r="C47" s="7" t="s">
        <v>137</v>
      </c>
      <c r="D47" s="7" t="s">
        <v>137</v>
      </c>
      <c r="E47" s="8" t="s">
        <v>138</v>
      </c>
      <c r="F47" s="7" t="s">
        <v>137</v>
      </c>
      <c r="G47" s="3" t="s">
        <v>111</v>
      </c>
      <c r="I47" s="2" t="s">
        <v>139</v>
      </c>
      <c r="M47" s="5" t="s">
        <v>47</v>
      </c>
      <c r="N47" s="1" t="s">
        <v>91</v>
      </c>
    </row>
    <row r="48" spans="1:29">
      <c r="A48" s="6" t="s">
        <v>38</v>
      </c>
      <c r="B48" s="6" t="s">
        <v>39</v>
      </c>
      <c r="C48" s="7" t="s">
        <v>140</v>
      </c>
      <c r="D48" s="7" t="s">
        <v>140</v>
      </c>
      <c r="E48" s="8" t="s">
        <v>138</v>
      </c>
      <c r="F48" s="7" t="s">
        <v>140</v>
      </c>
      <c r="G48" s="3" t="s">
        <v>111</v>
      </c>
      <c r="I48" s="2" t="s">
        <v>139</v>
      </c>
      <c r="M48" s="5" t="s">
        <v>47</v>
      </c>
      <c r="N48" s="14" t="s">
        <v>141</v>
      </c>
      <c r="O48" s="1" t="s">
        <v>114</v>
      </c>
      <c r="P48" s="1" t="s">
        <v>142</v>
      </c>
      <c r="Q48" s="1" t="s">
        <v>143</v>
      </c>
      <c r="R48" s="1" t="s">
        <v>144</v>
      </c>
      <c r="S48" s="1" t="s">
        <v>145</v>
      </c>
      <c r="T48" s="1" t="s">
        <v>146</v>
      </c>
      <c r="U48" s="1" t="s">
        <v>118</v>
      </c>
      <c r="V48" s="1" t="s">
        <v>147</v>
      </c>
      <c r="W48" s="1" t="s">
        <v>148</v>
      </c>
      <c r="X48" s="1" t="s">
        <v>149</v>
      </c>
      <c r="Y48" s="1" t="s">
        <v>150</v>
      </c>
      <c r="Z48" s="1" t="s">
        <v>151</v>
      </c>
      <c r="AA48" s="1" t="s">
        <v>152</v>
      </c>
      <c r="AB48" s="1" t="s">
        <v>153</v>
      </c>
      <c r="AC48" s="1" t="s">
        <v>154</v>
      </c>
    </row>
    <row r="49" spans="1:29">
      <c r="A49" s="6" t="s">
        <v>38</v>
      </c>
      <c r="B49" s="6" t="s">
        <v>39</v>
      </c>
      <c r="C49" s="7" t="s">
        <v>155</v>
      </c>
      <c r="D49" s="7" t="s">
        <v>155</v>
      </c>
      <c r="E49" s="8" t="s">
        <v>138</v>
      </c>
      <c r="F49" s="7" t="s">
        <v>155</v>
      </c>
      <c r="G49" s="3" t="s">
        <v>111</v>
      </c>
      <c r="I49" s="2" t="s">
        <v>139</v>
      </c>
      <c r="M49" s="5" t="s">
        <v>47</v>
      </c>
      <c r="N49" s="1" t="s">
        <v>156</v>
      </c>
    </row>
    <row r="50" spans="1:29">
      <c r="A50" s="6" t="s">
        <v>38</v>
      </c>
      <c r="B50" s="6" t="s">
        <v>39</v>
      </c>
      <c r="C50" s="7" t="s">
        <v>157</v>
      </c>
      <c r="D50" s="7" t="s">
        <v>157</v>
      </c>
      <c r="E50" s="8" t="s">
        <v>138</v>
      </c>
      <c r="F50" s="7" t="s">
        <v>157</v>
      </c>
      <c r="G50" s="3" t="s">
        <v>111</v>
      </c>
      <c r="I50" s="2" t="s">
        <v>139</v>
      </c>
      <c r="M50" s="5" t="s">
        <v>47</v>
      </c>
      <c r="N50" s="1" t="s">
        <v>158</v>
      </c>
    </row>
    <row r="51" spans="1:29">
      <c r="A51" s="6" t="s">
        <v>38</v>
      </c>
      <c r="B51" s="6" t="s">
        <v>39</v>
      </c>
      <c r="C51" s="7" t="s">
        <v>159</v>
      </c>
      <c r="D51" s="7" t="s">
        <v>159</v>
      </c>
      <c r="E51" s="8" t="s">
        <v>138</v>
      </c>
      <c r="F51" s="7" t="s">
        <v>159</v>
      </c>
      <c r="G51" s="3" t="s">
        <v>111</v>
      </c>
      <c r="I51" s="2" t="s">
        <v>139</v>
      </c>
      <c r="M51" s="5" t="s">
        <v>47</v>
      </c>
      <c r="N51" s="14" t="s">
        <v>160</v>
      </c>
      <c r="O51" s="1" t="s">
        <v>161</v>
      </c>
      <c r="P51" s="1" t="s">
        <v>162</v>
      </c>
      <c r="Q51" s="1" t="s">
        <v>163</v>
      </c>
      <c r="R51" s="1" t="s">
        <v>164</v>
      </c>
      <c r="S51" s="1" t="s">
        <v>165</v>
      </c>
      <c r="T51" s="1" t="s">
        <v>146</v>
      </c>
      <c r="U51" s="1" t="s">
        <v>118</v>
      </c>
      <c r="V51" s="1" t="s">
        <v>166</v>
      </c>
      <c r="W51" s="1" t="s">
        <v>167</v>
      </c>
      <c r="X51" s="1" t="s">
        <v>168</v>
      </c>
      <c r="Y51" s="1" t="s">
        <v>169</v>
      </c>
      <c r="Z51" s="1" t="s">
        <v>170</v>
      </c>
      <c r="AA51" s="1" t="s">
        <v>124</v>
      </c>
      <c r="AB51" s="1" t="s">
        <v>171</v>
      </c>
      <c r="AC51" s="1" t="s">
        <v>172</v>
      </c>
    </row>
    <row r="52" spans="1:29">
      <c r="A52" s="6" t="s">
        <v>38</v>
      </c>
      <c r="B52" s="6" t="s">
        <v>39</v>
      </c>
      <c r="C52" s="7" t="s">
        <v>173</v>
      </c>
      <c r="D52" s="7" t="s">
        <v>173</v>
      </c>
      <c r="E52" s="8" t="s">
        <v>138</v>
      </c>
      <c r="F52" s="7" t="s">
        <v>173</v>
      </c>
      <c r="G52" s="3" t="s">
        <v>111</v>
      </c>
      <c r="I52" s="2" t="s">
        <v>139</v>
      </c>
      <c r="M52" s="5" t="s">
        <v>47</v>
      </c>
      <c r="N52" s="1" t="s">
        <v>174</v>
      </c>
    </row>
    <row r="53" spans="1:29">
      <c r="A53" s="6" t="s">
        <v>38</v>
      </c>
      <c r="B53" s="6" t="s">
        <v>39</v>
      </c>
      <c r="C53" s="7" t="s">
        <v>175</v>
      </c>
      <c r="D53" s="7" t="s">
        <v>175</v>
      </c>
      <c r="E53" s="8" t="s">
        <v>85</v>
      </c>
      <c r="F53" s="7" t="s">
        <v>175</v>
      </c>
      <c r="G53" s="3"/>
      <c r="I53" s="2" t="s">
        <v>139</v>
      </c>
      <c r="M53" s="5" t="s">
        <v>47</v>
      </c>
    </row>
    <row r="54" spans="1:29">
      <c r="A54" s="6" t="s">
        <v>38</v>
      </c>
      <c r="B54" s="6" t="s">
        <v>39</v>
      </c>
      <c r="C54" s="7" t="s">
        <v>176</v>
      </c>
      <c r="D54" s="7" t="s">
        <v>176</v>
      </c>
      <c r="E54" s="8" t="s">
        <v>138</v>
      </c>
      <c r="F54" s="7" t="s">
        <v>176</v>
      </c>
      <c r="G54" s="3" t="s">
        <v>111</v>
      </c>
      <c r="I54" s="2" t="s">
        <v>139</v>
      </c>
      <c r="M54" s="5" t="s">
        <v>47</v>
      </c>
      <c r="N54" s="1" t="s">
        <v>177</v>
      </c>
    </row>
    <row r="55" spans="1:29">
      <c r="A55" s="6" t="s">
        <v>38</v>
      </c>
      <c r="B55" s="6" t="s">
        <v>39</v>
      </c>
      <c r="C55" s="7" t="s">
        <v>178</v>
      </c>
      <c r="D55" s="7" t="s">
        <v>178</v>
      </c>
      <c r="E55" s="8" t="s">
        <v>138</v>
      </c>
      <c r="F55" s="7" t="s">
        <v>178</v>
      </c>
      <c r="G55" s="3" t="s">
        <v>179</v>
      </c>
      <c r="I55" s="2" t="s">
        <v>180</v>
      </c>
      <c r="M55" s="5" t="s">
        <v>63</v>
      </c>
      <c r="N55" s="1" t="s">
        <v>181</v>
      </c>
    </row>
    <row r="56" spans="1:29">
      <c r="A56" s="6" t="s">
        <v>38</v>
      </c>
      <c r="B56" s="6" t="s">
        <v>39</v>
      </c>
      <c r="C56" s="7" t="s">
        <v>182</v>
      </c>
      <c r="D56" s="7" t="s">
        <v>182</v>
      </c>
      <c r="E56" s="8" t="s">
        <v>138</v>
      </c>
      <c r="F56" s="7" t="s">
        <v>182</v>
      </c>
      <c r="G56" s="3" t="s">
        <v>183</v>
      </c>
      <c r="I56" s="2" t="s">
        <v>184</v>
      </c>
      <c r="M56" s="5" t="s">
        <v>47</v>
      </c>
      <c r="N56" s="1" t="s">
        <v>185</v>
      </c>
    </row>
    <row r="57" spans="1:29">
      <c r="A57" s="6" t="s">
        <v>38</v>
      </c>
      <c r="B57" s="6" t="s">
        <v>39</v>
      </c>
      <c r="C57" s="7" t="s">
        <v>186</v>
      </c>
      <c r="D57" s="7" t="s">
        <v>186</v>
      </c>
      <c r="E57" s="8" t="s">
        <v>138</v>
      </c>
      <c r="F57" s="7" t="s">
        <v>186</v>
      </c>
      <c r="G57" s="3" t="s">
        <v>183</v>
      </c>
      <c r="I57" s="2" t="s">
        <v>184</v>
      </c>
      <c r="M57" s="5" t="s">
        <v>47</v>
      </c>
      <c r="N57" s="1" t="s">
        <v>187</v>
      </c>
    </row>
    <row r="58" spans="1:29">
      <c r="A58" s="6" t="s">
        <v>38</v>
      </c>
      <c r="B58" s="6" t="s">
        <v>39</v>
      </c>
      <c r="C58" s="7" t="s">
        <v>188</v>
      </c>
      <c r="D58" s="7" t="s">
        <v>188</v>
      </c>
      <c r="E58" s="8" t="s">
        <v>138</v>
      </c>
      <c r="F58" s="7" t="s">
        <v>188</v>
      </c>
      <c r="G58" s="3" t="s">
        <v>183</v>
      </c>
      <c r="I58" s="2" t="s">
        <v>184</v>
      </c>
      <c r="M58" s="5" t="s">
        <v>47</v>
      </c>
      <c r="N58" s="1" t="s">
        <v>189</v>
      </c>
    </row>
    <row r="59" spans="1:29">
      <c r="A59" s="6" t="s">
        <v>38</v>
      </c>
      <c r="B59" s="6" t="s">
        <v>39</v>
      </c>
      <c r="C59" s="7" t="s">
        <v>190</v>
      </c>
      <c r="D59" s="7" t="s">
        <v>190</v>
      </c>
      <c r="E59" s="8" t="s">
        <v>138</v>
      </c>
      <c r="F59" s="7" t="s">
        <v>190</v>
      </c>
      <c r="G59" s="3" t="s">
        <v>183</v>
      </c>
      <c r="I59" s="2" t="s">
        <v>184</v>
      </c>
      <c r="M59" s="5" t="s">
        <v>47</v>
      </c>
      <c r="N59" s="1" t="s">
        <v>191</v>
      </c>
    </row>
    <row r="60" spans="1:29">
      <c r="A60" s="6" t="s">
        <v>38</v>
      </c>
      <c r="B60" s="6" t="s">
        <v>39</v>
      </c>
      <c r="C60" s="7" t="s">
        <v>192</v>
      </c>
      <c r="D60" s="7" t="s">
        <v>192</v>
      </c>
      <c r="E60" s="8" t="s">
        <v>138</v>
      </c>
      <c r="F60" s="7" t="s">
        <v>192</v>
      </c>
      <c r="G60" s="3" t="s">
        <v>183</v>
      </c>
      <c r="I60" s="2" t="s">
        <v>184</v>
      </c>
      <c r="M60" s="5" t="s">
        <v>47</v>
      </c>
      <c r="N60" s="14" t="s">
        <v>193</v>
      </c>
    </row>
    <row r="61" spans="1:29">
      <c r="A61" s="6"/>
      <c r="B61" s="6"/>
      <c r="E61" s="8"/>
      <c r="F61" s="7" t="s">
        <v>194</v>
      </c>
      <c r="G61" s="3"/>
      <c r="I61" s="2"/>
      <c r="M61" s="5"/>
      <c r="N61" s="14"/>
      <c r="O61" s="1" t="s">
        <v>195</v>
      </c>
      <c r="P61" s="1" t="s">
        <v>196</v>
      </c>
      <c r="Q61" s="1" t="s">
        <v>197</v>
      </c>
      <c r="R61" s="1" t="s">
        <v>198</v>
      </c>
      <c r="S61" s="1" t="s">
        <v>165</v>
      </c>
      <c r="T61" s="1" t="s">
        <v>146</v>
      </c>
      <c r="U61" s="1" t="s">
        <v>118</v>
      </c>
      <c r="V61" s="1" t="s">
        <v>199</v>
      </c>
      <c r="W61" s="1" t="s">
        <v>200</v>
      </c>
      <c r="X61" s="1" t="s">
        <v>201</v>
      </c>
      <c r="Y61" s="1" t="s">
        <v>202</v>
      </c>
      <c r="Z61" s="1" t="s">
        <v>203</v>
      </c>
      <c r="AA61" s="1" t="s">
        <v>204</v>
      </c>
      <c r="AB61" s="1" t="s">
        <v>205</v>
      </c>
      <c r="AC61" s="1" t="s">
        <v>154</v>
      </c>
    </row>
    <row r="62" spans="1:29">
      <c r="A62" s="6" t="s">
        <v>38</v>
      </c>
      <c r="B62" s="6" t="s">
        <v>39</v>
      </c>
      <c r="C62" s="7" t="s">
        <v>206</v>
      </c>
      <c r="D62" s="7" t="s">
        <v>206</v>
      </c>
      <c r="E62" s="8" t="s">
        <v>138</v>
      </c>
      <c r="F62" s="7" t="s">
        <v>206</v>
      </c>
      <c r="G62" s="3" t="s">
        <v>183</v>
      </c>
      <c r="I62" s="2" t="s">
        <v>184</v>
      </c>
      <c r="M62" s="5" t="s">
        <v>47</v>
      </c>
      <c r="N62" s="1" t="s">
        <v>207</v>
      </c>
    </row>
    <row r="63" spans="1:29">
      <c r="A63" s="6" t="s">
        <v>38</v>
      </c>
      <c r="B63" s="6" t="s">
        <v>39</v>
      </c>
      <c r="C63" s="7" t="s">
        <v>208</v>
      </c>
      <c r="D63" s="7" t="s">
        <v>208</v>
      </c>
      <c r="E63" s="8" t="s">
        <v>138</v>
      </c>
      <c r="F63" s="7" t="s">
        <v>208</v>
      </c>
      <c r="G63" s="3" t="s">
        <v>183</v>
      </c>
      <c r="I63" s="2" t="s">
        <v>184</v>
      </c>
      <c r="M63" s="5" t="s">
        <v>47</v>
      </c>
      <c r="N63" s="14" t="s">
        <v>209</v>
      </c>
      <c r="O63" s="1" t="s">
        <v>161</v>
      </c>
      <c r="P63" s="1" t="s">
        <v>210</v>
      </c>
      <c r="Q63" s="1" t="s">
        <v>211</v>
      </c>
      <c r="R63" s="1" t="s">
        <v>212</v>
      </c>
      <c r="S63" s="1" t="s">
        <v>117</v>
      </c>
      <c r="T63" s="1" t="s">
        <v>117</v>
      </c>
      <c r="U63" s="1" t="s">
        <v>118</v>
      </c>
      <c r="V63" s="1" t="s">
        <v>213</v>
      </c>
      <c r="W63" s="1" t="s">
        <v>214</v>
      </c>
      <c r="X63" s="1" t="s">
        <v>215</v>
      </c>
      <c r="Y63" s="1" t="s">
        <v>216</v>
      </c>
      <c r="Z63" s="1" t="s">
        <v>217</v>
      </c>
      <c r="AA63" s="1" t="s">
        <v>218</v>
      </c>
      <c r="AB63" s="1" t="s">
        <v>219</v>
      </c>
      <c r="AC63" s="1" t="s">
        <v>154</v>
      </c>
    </row>
    <row r="64" spans="1:29">
      <c r="A64" s="6" t="s">
        <v>38</v>
      </c>
      <c r="B64" s="6" t="s">
        <v>39</v>
      </c>
      <c r="C64" s="7" t="s">
        <v>220</v>
      </c>
      <c r="D64" s="7" t="s">
        <v>220</v>
      </c>
      <c r="E64" s="8" t="s">
        <v>138</v>
      </c>
      <c r="F64" s="7" t="s">
        <v>220</v>
      </c>
      <c r="G64" s="3" t="s">
        <v>183</v>
      </c>
      <c r="I64" s="2" t="s">
        <v>184</v>
      </c>
      <c r="M64" s="5" t="s">
        <v>47</v>
      </c>
      <c r="N64" s="1" t="s">
        <v>221</v>
      </c>
    </row>
    <row r="65" spans="1:14">
      <c r="A65" s="6" t="s">
        <v>38</v>
      </c>
      <c r="B65" s="6" t="s">
        <v>39</v>
      </c>
      <c r="C65" s="7" t="s">
        <v>222</v>
      </c>
      <c r="D65" s="7" t="s">
        <v>222</v>
      </c>
      <c r="E65" s="8" t="s">
        <v>138</v>
      </c>
      <c r="F65" s="7" t="s">
        <v>222</v>
      </c>
      <c r="G65" s="3" t="s">
        <v>183</v>
      </c>
      <c r="I65" s="2" t="s">
        <v>184</v>
      </c>
      <c r="M65" s="5" t="s">
        <v>47</v>
      </c>
      <c r="N65" s="1" t="s">
        <v>223</v>
      </c>
    </row>
    <row r="66" spans="1:14">
      <c r="A66" s="6" t="s">
        <v>38</v>
      </c>
      <c r="B66" s="6" t="s">
        <v>39</v>
      </c>
      <c r="C66" s="7" t="s">
        <v>224</v>
      </c>
      <c r="D66" s="7" t="s">
        <v>224</v>
      </c>
      <c r="E66" s="8" t="s">
        <v>85</v>
      </c>
      <c r="F66" s="7" t="s">
        <v>224</v>
      </c>
      <c r="I66" s="2" t="s">
        <v>225</v>
      </c>
    </row>
    <row r="67" spans="1:14">
      <c r="A67" s="6" t="s">
        <v>38</v>
      </c>
      <c r="B67" s="6" t="s">
        <v>39</v>
      </c>
      <c r="C67" s="7" t="s">
        <v>226</v>
      </c>
      <c r="D67" s="7" t="s">
        <v>226</v>
      </c>
      <c r="E67" s="8" t="s">
        <v>138</v>
      </c>
      <c r="F67" s="7" t="s">
        <v>226</v>
      </c>
      <c r="G67" s="3" t="s">
        <v>183</v>
      </c>
      <c r="H67" s="2"/>
      <c r="I67" s="2" t="s">
        <v>227</v>
      </c>
      <c r="M67" s="5" t="s">
        <v>47</v>
      </c>
      <c r="N67" s="1" t="s">
        <v>181</v>
      </c>
    </row>
    <row r="68" spans="1:14">
      <c r="A68" s="6" t="s">
        <v>38</v>
      </c>
      <c r="B68" s="6" t="s">
        <v>39</v>
      </c>
      <c r="C68" s="7" t="s">
        <v>228</v>
      </c>
      <c r="D68" s="7" t="s">
        <v>228</v>
      </c>
      <c r="E68" s="8" t="s">
        <v>138</v>
      </c>
      <c r="F68" s="7" t="s">
        <v>228</v>
      </c>
      <c r="G68" s="3" t="s">
        <v>183</v>
      </c>
      <c r="H68" s="2"/>
      <c r="I68" s="2" t="s">
        <v>227</v>
      </c>
      <c r="M68" s="5" t="s">
        <v>47</v>
      </c>
      <c r="N68" s="1" t="s">
        <v>221</v>
      </c>
    </row>
    <row r="69" spans="1:14">
      <c r="A69" s="6" t="s">
        <v>38</v>
      </c>
      <c r="B69" s="6" t="s">
        <v>39</v>
      </c>
      <c r="C69" s="7" t="s">
        <v>229</v>
      </c>
      <c r="D69" s="7" t="s">
        <v>229</v>
      </c>
      <c r="E69" s="8" t="s">
        <v>138</v>
      </c>
      <c r="F69" s="7" t="s">
        <v>229</v>
      </c>
      <c r="G69" s="3" t="s">
        <v>183</v>
      </c>
      <c r="H69" s="2"/>
      <c r="I69" s="2" t="s">
        <v>227</v>
      </c>
      <c r="M69" s="5" t="s">
        <v>47</v>
      </c>
      <c r="N69" s="1" t="s">
        <v>221</v>
      </c>
    </row>
    <row r="70" spans="1:14">
      <c r="A70" s="6" t="s">
        <v>38</v>
      </c>
      <c r="B70" s="6" t="s">
        <v>39</v>
      </c>
      <c r="C70" s="7" t="s">
        <v>230</v>
      </c>
      <c r="D70" s="7" t="s">
        <v>230</v>
      </c>
      <c r="E70" s="8" t="s">
        <v>138</v>
      </c>
      <c r="F70" s="7" t="s">
        <v>230</v>
      </c>
      <c r="G70" s="3" t="s">
        <v>183</v>
      </c>
      <c r="H70" s="2"/>
      <c r="I70" s="2" t="s">
        <v>227</v>
      </c>
      <c r="M70" s="5" t="s">
        <v>47</v>
      </c>
      <c r="N70" s="1" t="s">
        <v>231</v>
      </c>
    </row>
    <row r="71" spans="1:14">
      <c r="A71" s="6" t="s">
        <v>38</v>
      </c>
      <c r="B71" s="6" t="s">
        <v>39</v>
      </c>
      <c r="C71" s="7" t="s">
        <v>232</v>
      </c>
      <c r="D71" s="7" t="s">
        <v>232</v>
      </c>
      <c r="E71" s="8" t="s">
        <v>138</v>
      </c>
      <c r="F71" s="7" t="s">
        <v>232</v>
      </c>
      <c r="G71" s="3" t="s">
        <v>183</v>
      </c>
      <c r="H71" s="2"/>
      <c r="I71" s="2" t="s">
        <v>227</v>
      </c>
      <c r="M71" s="5" t="s">
        <v>47</v>
      </c>
      <c r="N71" s="1" t="s">
        <v>233</v>
      </c>
    </row>
    <row r="72" spans="1:14" ht="25.5">
      <c r="A72" s="6" t="s">
        <v>38</v>
      </c>
      <c r="B72" s="6" t="s">
        <v>39</v>
      </c>
      <c r="C72" s="7" t="s">
        <v>234</v>
      </c>
      <c r="D72" s="7" t="s">
        <v>234</v>
      </c>
      <c r="E72" s="8" t="s">
        <v>235</v>
      </c>
      <c r="F72" s="7" t="s">
        <v>234</v>
      </c>
      <c r="G72" s="3" t="s">
        <v>111</v>
      </c>
      <c r="I72" s="2" t="s">
        <v>236</v>
      </c>
      <c r="M72" s="8" t="s">
        <v>237</v>
      </c>
      <c r="N72" s="1" t="s">
        <v>238</v>
      </c>
    </row>
    <row r="73" spans="1:14" ht="51">
      <c r="A73" s="6" t="s">
        <v>38</v>
      </c>
      <c r="B73" s="6" t="s">
        <v>39</v>
      </c>
      <c r="C73" s="7" t="s">
        <v>239</v>
      </c>
      <c r="D73" s="7" t="s">
        <v>239</v>
      </c>
      <c r="E73" s="10" t="s">
        <v>240</v>
      </c>
      <c r="F73" s="7" t="s">
        <v>239</v>
      </c>
      <c r="G73" s="11" t="s">
        <v>241</v>
      </c>
      <c r="I73" s="2" t="s">
        <v>242</v>
      </c>
      <c r="M73" s="12" t="s">
        <v>243</v>
      </c>
      <c r="N73" s="1" t="s">
        <v>181</v>
      </c>
    </row>
    <row r="74" spans="1:14" ht="51">
      <c r="A74" s="6" t="s">
        <v>38</v>
      </c>
      <c r="B74" s="6" t="s">
        <v>39</v>
      </c>
      <c r="C74" s="7" t="s">
        <v>244</v>
      </c>
      <c r="D74" s="7" t="s">
        <v>244</v>
      </c>
      <c r="E74" s="10" t="s">
        <v>240</v>
      </c>
      <c r="F74" s="7" t="s">
        <v>244</v>
      </c>
      <c r="G74" s="11" t="s">
        <v>241</v>
      </c>
      <c r="I74" s="2" t="s">
        <v>242</v>
      </c>
      <c r="M74" s="12" t="s">
        <v>243</v>
      </c>
      <c r="N74" s="1" t="s">
        <v>181</v>
      </c>
    </row>
    <row r="75" spans="1:14" ht="51">
      <c r="A75" s="6" t="s">
        <v>38</v>
      </c>
      <c r="B75" s="6" t="s">
        <v>39</v>
      </c>
      <c r="C75" s="7" t="s">
        <v>245</v>
      </c>
      <c r="D75" s="7" t="s">
        <v>245</v>
      </c>
      <c r="E75" s="10" t="s">
        <v>240</v>
      </c>
      <c r="F75" s="7" t="s">
        <v>245</v>
      </c>
      <c r="G75" s="11" t="s">
        <v>241</v>
      </c>
      <c r="I75" s="2" t="s">
        <v>246</v>
      </c>
      <c r="M75" s="12" t="s">
        <v>243</v>
      </c>
      <c r="N75" s="1" t="s">
        <v>91</v>
      </c>
    </row>
    <row r="76" spans="1:14" ht="51">
      <c r="A76" s="6" t="s">
        <v>38</v>
      </c>
      <c r="B76" s="6" t="s">
        <v>39</v>
      </c>
      <c r="C76" s="7" t="s">
        <v>247</v>
      </c>
      <c r="D76" s="7" t="s">
        <v>247</v>
      </c>
      <c r="E76" s="10" t="s">
        <v>240</v>
      </c>
      <c r="F76" s="7" t="s">
        <v>247</v>
      </c>
      <c r="G76" s="11" t="s">
        <v>241</v>
      </c>
      <c r="I76" s="2" t="s">
        <v>246</v>
      </c>
      <c r="M76" s="12" t="s">
        <v>243</v>
      </c>
      <c r="N76" s="1" t="s">
        <v>248</v>
      </c>
    </row>
    <row r="77" spans="1:14" ht="51">
      <c r="A77" s="6" t="s">
        <v>38</v>
      </c>
      <c r="B77" s="6" t="s">
        <v>39</v>
      </c>
      <c r="C77" s="7" t="s">
        <v>249</v>
      </c>
      <c r="D77" s="7" t="s">
        <v>249</v>
      </c>
      <c r="E77" s="10" t="s">
        <v>240</v>
      </c>
      <c r="F77" s="7" t="s">
        <v>249</v>
      </c>
      <c r="G77" s="11" t="s">
        <v>241</v>
      </c>
      <c r="I77" s="2" t="s">
        <v>246</v>
      </c>
      <c r="M77" s="12" t="s">
        <v>243</v>
      </c>
      <c r="N77" s="1" t="s">
        <v>250</v>
      </c>
    </row>
    <row r="78" spans="1:14" ht="51">
      <c r="A78" s="6" t="s">
        <v>38</v>
      </c>
      <c r="B78" s="6" t="s">
        <v>39</v>
      </c>
      <c r="C78" s="7" t="s">
        <v>251</v>
      </c>
      <c r="D78" s="7" t="s">
        <v>251</v>
      </c>
      <c r="E78" s="10" t="s">
        <v>240</v>
      </c>
      <c r="F78" s="7" t="s">
        <v>251</v>
      </c>
      <c r="G78" s="11" t="s">
        <v>241</v>
      </c>
      <c r="I78" s="2" t="s">
        <v>246</v>
      </c>
      <c r="M78" s="12" t="s">
        <v>243</v>
      </c>
      <c r="N78" s="1" t="s">
        <v>250</v>
      </c>
    </row>
    <row r="79" spans="1:14" ht="51">
      <c r="A79" s="6" t="s">
        <v>38</v>
      </c>
      <c r="B79" s="6" t="s">
        <v>39</v>
      </c>
      <c r="C79" s="7" t="s">
        <v>252</v>
      </c>
      <c r="D79" s="7" t="s">
        <v>252</v>
      </c>
      <c r="E79" s="10" t="s">
        <v>240</v>
      </c>
      <c r="F79" s="7" t="s">
        <v>252</v>
      </c>
      <c r="G79" s="11" t="s">
        <v>241</v>
      </c>
      <c r="I79" s="2" t="s">
        <v>246</v>
      </c>
      <c r="M79" s="12" t="s">
        <v>243</v>
      </c>
      <c r="N79" s="1" t="s">
        <v>253</v>
      </c>
    </row>
    <row r="80" spans="1:14" ht="25.5">
      <c r="A80" s="6" t="s">
        <v>38</v>
      </c>
      <c r="B80" s="6" t="s">
        <v>39</v>
      </c>
      <c r="C80" s="7" t="s">
        <v>254</v>
      </c>
      <c r="D80" s="7" t="s">
        <v>254</v>
      </c>
      <c r="E80" s="8" t="s">
        <v>235</v>
      </c>
      <c r="F80" s="7" t="s">
        <v>254</v>
      </c>
      <c r="G80" s="3" t="s">
        <v>111</v>
      </c>
      <c r="I80" s="2" t="s">
        <v>236</v>
      </c>
      <c r="M80" s="8" t="s">
        <v>237</v>
      </c>
      <c r="N80" s="1" t="s">
        <v>255</v>
      </c>
    </row>
    <row r="81" spans="1:28" ht="38.25">
      <c r="A81" s="6" t="s">
        <v>38</v>
      </c>
      <c r="B81" s="6" t="s">
        <v>39</v>
      </c>
      <c r="C81" s="7" t="s">
        <v>256</v>
      </c>
      <c r="D81" s="7" t="s">
        <v>256</v>
      </c>
      <c r="E81" s="10" t="s">
        <v>257</v>
      </c>
      <c r="F81" s="7" t="s">
        <v>256</v>
      </c>
      <c r="G81" s="3" t="s">
        <v>258</v>
      </c>
      <c r="I81" s="2" t="s">
        <v>259</v>
      </c>
      <c r="M81" s="12" t="s">
        <v>243</v>
      </c>
      <c r="N81" s="1" t="s">
        <v>260</v>
      </c>
    </row>
    <row r="82" spans="1:28" ht="38.25">
      <c r="A82" s="6" t="s">
        <v>38</v>
      </c>
      <c r="B82" s="6" t="s">
        <v>39</v>
      </c>
      <c r="C82" s="7" t="s">
        <v>261</v>
      </c>
      <c r="D82" s="7" t="s">
        <v>261</v>
      </c>
      <c r="E82" s="10" t="s">
        <v>257</v>
      </c>
      <c r="F82" s="7" t="s">
        <v>261</v>
      </c>
      <c r="G82" s="3" t="s">
        <v>258</v>
      </c>
      <c r="I82" s="2" t="s">
        <v>259</v>
      </c>
      <c r="M82" s="12" t="s">
        <v>243</v>
      </c>
      <c r="N82" s="1" t="s">
        <v>91</v>
      </c>
    </row>
    <row r="83" spans="1:28" ht="38.25">
      <c r="A83" s="6" t="s">
        <v>38</v>
      </c>
      <c r="B83" s="6" t="s">
        <v>39</v>
      </c>
      <c r="C83" s="7" t="s">
        <v>262</v>
      </c>
      <c r="D83" s="7" t="s">
        <v>262</v>
      </c>
      <c r="E83" s="10" t="s">
        <v>257</v>
      </c>
      <c r="F83" s="7" t="s">
        <v>262</v>
      </c>
      <c r="G83" s="3" t="s">
        <v>258</v>
      </c>
      <c r="I83" s="2" t="s">
        <v>259</v>
      </c>
      <c r="M83" s="12" t="s">
        <v>243</v>
      </c>
      <c r="N83" s="1" t="s">
        <v>263</v>
      </c>
    </row>
    <row r="84" spans="1:28" ht="38.25">
      <c r="A84" s="6" t="s">
        <v>38</v>
      </c>
      <c r="B84" s="6" t="s">
        <v>39</v>
      </c>
      <c r="C84" s="7" t="s">
        <v>264</v>
      </c>
      <c r="D84" s="7" t="s">
        <v>264</v>
      </c>
      <c r="E84" s="10" t="s">
        <v>257</v>
      </c>
      <c r="F84" s="7" t="s">
        <v>264</v>
      </c>
      <c r="G84" s="3" t="s">
        <v>258</v>
      </c>
      <c r="I84" s="2" t="s">
        <v>259</v>
      </c>
      <c r="M84" s="12" t="s">
        <v>243</v>
      </c>
      <c r="N84" s="1" t="s">
        <v>265</v>
      </c>
    </row>
    <row r="85" spans="1:28" ht="38.25">
      <c r="A85" s="6" t="s">
        <v>38</v>
      </c>
      <c r="B85" s="6" t="s">
        <v>39</v>
      </c>
      <c r="C85" s="7" t="s">
        <v>266</v>
      </c>
      <c r="D85" s="7" t="s">
        <v>266</v>
      </c>
      <c r="E85" s="10" t="s">
        <v>257</v>
      </c>
      <c r="F85" s="7" t="s">
        <v>266</v>
      </c>
      <c r="G85" s="3" t="s">
        <v>258</v>
      </c>
      <c r="I85" s="2" t="s">
        <v>259</v>
      </c>
      <c r="M85" s="12" t="s">
        <v>243</v>
      </c>
      <c r="N85" s="1" t="s">
        <v>267</v>
      </c>
    </row>
    <row r="86" spans="1:28" ht="38.25">
      <c r="A86" s="6" t="s">
        <v>38</v>
      </c>
      <c r="B86" s="6" t="s">
        <v>39</v>
      </c>
      <c r="C86" s="7" t="s">
        <v>268</v>
      </c>
      <c r="D86" s="7" t="s">
        <v>268</v>
      </c>
      <c r="E86" s="10" t="s">
        <v>257</v>
      </c>
      <c r="F86" s="7" t="s">
        <v>268</v>
      </c>
      <c r="G86" s="3" t="s">
        <v>258</v>
      </c>
      <c r="I86" s="2" t="s">
        <v>259</v>
      </c>
      <c r="M86" s="12" t="s">
        <v>243</v>
      </c>
      <c r="N86" s="1" t="s">
        <v>269</v>
      </c>
    </row>
    <row r="87" spans="1:28" ht="38.25">
      <c r="A87" s="6" t="s">
        <v>38</v>
      </c>
      <c r="B87" s="6" t="s">
        <v>39</v>
      </c>
      <c r="C87" s="7" t="s">
        <v>270</v>
      </c>
      <c r="D87" s="7" t="s">
        <v>270</v>
      </c>
      <c r="E87" s="10" t="s">
        <v>257</v>
      </c>
      <c r="F87" s="7" t="s">
        <v>270</v>
      </c>
      <c r="G87" s="3" t="s">
        <v>258</v>
      </c>
      <c r="I87" s="2" t="s">
        <v>259</v>
      </c>
      <c r="M87" s="12" t="s">
        <v>243</v>
      </c>
      <c r="N87" s="1" t="s">
        <v>271</v>
      </c>
    </row>
    <row r="88" spans="1:28" ht="25.5">
      <c r="A88" s="6" t="s">
        <v>38</v>
      </c>
      <c r="B88" s="6" t="s">
        <v>39</v>
      </c>
      <c r="C88" s="7" t="s">
        <v>272</v>
      </c>
      <c r="D88" s="7" t="s">
        <v>272</v>
      </c>
      <c r="E88" s="17" t="s">
        <v>273</v>
      </c>
      <c r="F88" s="7" t="s">
        <v>272</v>
      </c>
      <c r="G88" s="3" t="s">
        <v>111</v>
      </c>
      <c r="I88" s="2" t="s">
        <v>274</v>
      </c>
      <c r="M88" s="8" t="s">
        <v>275</v>
      </c>
      <c r="N88" s="1" t="s">
        <v>276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ht="25.5">
      <c r="A89" s="6" t="s">
        <v>38</v>
      </c>
      <c r="B89" s="6" t="s">
        <v>39</v>
      </c>
      <c r="C89" s="7" t="s">
        <v>277</v>
      </c>
      <c r="D89" s="7" t="s">
        <v>277</v>
      </c>
      <c r="E89" s="17" t="s">
        <v>273</v>
      </c>
      <c r="F89" s="7" t="s">
        <v>277</v>
      </c>
      <c r="G89" s="3" t="s">
        <v>111</v>
      </c>
      <c r="I89" s="2" t="s">
        <v>274</v>
      </c>
      <c r="M89" s="8" t="s">
        <v>275</v>
      </c>
      <c r="N89" s="1" t="s">
        <v>278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ht="25.5">
      <c r="A90" s="6" t="s">
        <v>38</v>
      </c>
      <c r="B90" s="6" t="s">
        <v>39</v>
      </c>
      <c r="C90" s="7" t="s">
        <v>279</v>
      </c>
      <c r="D90" s="7" t="s">
        <v>279</v>
      </c>
      <c r="E90" s="17" t="s">
        <v>273</v>
      </c>
      <c r="F90" s="7" t="s">
        <v>279</v>
      </c>
      <c r="G90" s="3" t="s">
        <v>111</v>
      </c>
      <c r="I90" s="2" t="s">
        <v>274</v>
      </c>
      <c r="M90" s="8" t="s">
        <v>275</v>
      </c>
      <c r="N90" s="1" t="s">
        <v>280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ht="25.5">
      <c r="A91" s="6" t="s">
        <v>38</v>
      </c>
      <c r="B91" s="6" t="s">
        <v>39</v>
      </c>
      <c r="C91" s="7" t="s">
        <v>281</v>
      </c>
      <c r="D91" s="7" t="s">
        <v>281</v>
      </c>
      <c r="E91" s="17" t="s">
        <v>273</v>
      </c>
      <c r="F91" s="7" t="s">
        <v>281</v>
      </c>
      <c r="G91" s="3" t="s">
        <v>111</v>
      </c>
      <c r="I91" s="2" t="s">
        <v>274</v>
      </c>
      <c r="M91" s="8" t="s">
        <v>275</v>
      </c>
      <c r="N91" s="1" t="s">
        <v>282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ht="25.5">
      <c r="A92" s="6" t="s">
        <v>38</v>
      </c>
      <c r="B92" s="6" t="s">
        <v>39</v>
      </c>
      <c r="C92" s="7" t="s">
        <v>283</v>
      </c>
      <c r="D92" s="7" t="s">
        <v>283</v>
      </c>
      <c r="E92" s="17" t="s">
        <v>273</v>
      </c>
      <c r="F92" s="7" t="s">
        <v>283</v>
      </c>
      <c r="G92" s="3" t="s">
        <v>111</v>
      </c>
      <c r="I92" s="2" t="s">
        <v>274</v>
      </c>
      <c r="M92" s="8" t="s">
        <v>275</v>
      </c>
      <c r="N92" s="1" t="s">
        <v>284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ht="25.5">
      <c r="A93" s="6" t="s">
        <v>38</v>
      </c>
      <c r="B93" s="6" t="s">
        <v>39</v>
      </c>
      <c r="C93" s="7" t="s">
        <v>285</v>
      </c>
      <c r="D93" s="7" t="s">
        <v>285</v>
      </c>
      <c r="E93" s="17" t="s">
        <v>273</v>
      </c>
      <c r="F93" s="7" t="s">
        <v>285</v>
      </c>
      <c r="G93" s="3" t="s">
        <v>111</v>
      </c>
      <c r="I93" s="2" t="s">
        <v>286</v>
      </c>
      <c r="M93" s="8" t="s">
        <v>275</v>
      </c>
      <c r="N93" s="1" t="s">
        <v>287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ht="25.5">
      <c r="A94" s="6" t="s">
        <v>38</v>
      </c>
      <c r="B94" s="6" t="s">
        <v>39</v>
      </c>
      <c r="C94" s="7" t="s">
        <v>288</v>
      </c>
      <c r="D94" s="7" t="s">
        <v>288</v>
      </c>
      <c r="E94" s="17" t="s">
        <v>273</v>
      </c>
      <c r="F94" s="7" t="s">
        <v>288</v>
      </c>
      <c r="G94" s="3" t="s">
        <v>111</v>
      </c>
      <c r="I94" s="2" t="s">
        <v>286</v>
      </c>
      <c r="M94" s="8" t="s">
        <v>275</v>
      </c>
      <c r="N94" s="1" t="s">
        <v>289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ht="25.5">
      <c r="A95" s="6" t="s">
        <v>38</v>
      </c>
      <c r="B95" s="6" t="s">
        <v>39</v>
      </c>
      <c r="C95" s="7" t="s">
        <v>290</v>
      </c>
      <c r="D95" s="7" t="s">
        <v>290</v>
      </c>
      <c r="E95" s="17" t="s">
        <v>273</v>
      </c>
      <c r="F95" s="7" t="s">
        <v>290</v>
      </c>
      <c r="G95" s="3" t="s">
        <v>111</v>
      </c>
      <c r="I95" s="2" t="s">
        <v>291</v>
      </c>
      <c r="M95" s="8" t="s">
        <v>292</v>
      </c>
      <c r="N95" s="1" t="s">
        <v>56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ht="25.5">
      <c r="A96" s="6" t="s">
        <v>38</v>
      </c>
      <c r="B96" s="6" t="s">
        <v>39</v>
      </c>
      <c r="C96" s="7" t="s">
        <v>293</v>
      </c>
      <c r="D96" s="7" t="s">
        <v>293</v>
      </c>
      <c r="E96" s="17" t="s">
        <v>273</v>
      </c>
      <c r="F96" s="22" t="s">
        <v>293</v>
      </c>
      <c r="G96" s="3" t="s">
        <v>111</v>
      </c>
      <c r="I96" s="2" t="s">
        <v>236</v>
      </c>
      <c r="M96" s="8" t="s">
        <v>275</v>
      </c>
      <c r="N96" s="14" t="s">
        <v>294</v>
      </c>
      <c r="O96" s="1" t="s">
        <v>295</v>
      </c>
      <c r="P96" s="18" t="s">
        <v>296</v>
      </c>
      <c r="Q96" s="18" t="s">
        <v>297</v>
      </c>
      <c r="R96" s="21" t="s">
        <v>298</v>
      </c>
      <c r="S96" s="19" t="s">
        <v>299</v>
      </c>
      <c r="T96" s="18"/>
      <c r="U96" s="18" t="s">
        <v>300</v>
      </c>
      <c r="V96" s="18" t="s">
        <v>301</v>
      </c>
      <c r="W96" s="21" t="s">
        <v>302</v>
      </c>
      <c r="X96" s="21" t="s">
        <v>303</v>
      </c>
      <c r="Y96" s="18" t="s">
        <v>304</v>
      </c>
      <c r="Z96" s="18" t="s">
        <v>305</v>
      </c>
      <c r="AA96" s="18" t="s">
        <v>306</v>
      </c>
      <c r="AB96" s="18" t="s">
        <v>307</v>
      </c>
    </row>
    <row r="97" spans="1:28" ht="25.5">
      <c r="A97" s="6" t="s">
        <v>38</v>
      </c>
      <c r="B97" s="6" t="s">
        <v>39</v>
      </c>
      <c r="C97" s="7" t="s">
        <v>308</v>
      </c>
      <c r="D97" s="7" t="s">
        <v>308</v>
      </c>
      <c r="E97" s="17" t="s">
        <v>273</v>
      </c>
      <c r="F97" s="7" t="s">
        <v>308</v>
      </c>
      <c r="G97" s="3" t="s">
        <v>111</v>
      </c>
      <c r="I97" s="2" t="s">
        <v>236</v>
      </c>
      <c r="M97" s="8" t="s">
        <v>275</v>
      </c>
      <c r="N97" s="1" t="s">
        <v>309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ht="25.5">
      <c r="A98" s="6" t="s">
        <v>38</v>
      </c>
      <c r="B98" s="6" t="s">
        <v>39</v>
      </c>
      <c r="C98" s="7" t="s">
        <v>310</v>
      </c>
      <c r="D98" s="7" t="s">
        <v>310</v>
      </c>
      <c r="E98" s="17" t="s">
        <v>273</v>
      </c>
      <c r="F98" s="7" t="s">
        <v>310</v>
      </c>
      <c r="G98" s="3" t="s">
        <v>111</v>
      </c>
      <c r="I98" s="2" t="s">
        <v>236</v>
      </c>
      <c r="M98" s="8" t="s">
        <v>237</v>
      </c>
      <c r="N98" s="14" t="s">
        <v>311</v>
      </c>
      <c r="O98" s="1" t="s">
        <v>295</v>
      </c>
      <c r="P98" s="18" t="s">
        <v>143</v>
      </c>
      <c r="Q98" s="18" t="s">
        <v>297</v>
      </c>
      <c r="R98" s="18" t="s">
        <v>312</v>
      </c>
      <c r="S98" s="19" t="s">
        <v>313</v>
      </c>
      <c r="T98" s="18"/>
      <c r="U98" s="18" t="s">
        <v>300</v>
      </c>
      <c r="V98" s="18" t="s">
        <v>314</v>
      </c>
      <c r="W98" s="21" t="s">
        <v>315</v>
      </c>
      <c r="X98" s="18" t="s">
        <v>316</v>
      </c>
      <c r="Y98" s="18" t="s">
        <v>317</v>
      </c>
      <c r="Z98" s="18" t="s">
        <v>318</v>
      </c>
      <c r="AA98" s="18" t="s">
        <v>319</v>
      </c>
      <c r="AB98" s="18" t="s">
        <v>320</v>
      </c>
    </row>
    <row r="99" spans="1:28">
      <c r="A99" s="6"/>
      <c r="B99" s="6"/>
      <c r="E99" s="17"/>
      <c r="F99" s="7" t="s">
        <v>321</v>
      </c>
      <c r="G99" s="3"/>
      <c r="I99" s="2"/>
      <c r="M99" s="8"/>
      <c r="N99" s="14" t="s">
        <v>322</v>
      </c>
      <c r="O99" s="1" t="s">
        <v>295</v>
      </c>
      <c r="P99" s="18" t="s">
        <v>323</v>
      </c>
      <c r="Q99" s="18" t="s">
        <v>324</v>
      </c>
      <c r="R99" s="18" t="s">
        <v>325</v>
      </c>
      <c r="S99" s="19" t="s">
        <v>326</v>
      </c>
      <c r="T99" s="18"/>
      <c r="U99" s="18" t="s">
        <v>300</v>
      </c>
      <c r="V99" s="18" t="s">
        <v>327</v>
      </c>
      <c r="W99" s="18" t="s">
        <v>328</v>
      </c>
      <c r="X99" s="18" t="s">
        <v>329</v>
      </c>
      <c r="Y99" s="18" t="s">
        <v>330</v>
      </c>
      <c r="Z99" s="18" t="s">
        <v>170</v>
      </c>
      <c r="AA99" s="18" t="s">
        <v>331</v>
      </c>
      <c r="AB99" s="18" t="s">
        <v>332</v>
      </c>
    </row>
    <row r="100" spans="1:28" ht="26.25">
      <c r="A100" s="6" t="s">
        <v>38</v>
      </c>
      <c r="B100" s="6" t="s">
        <v>39</v>
      </c>
      <c r="C100" s="7" t="s">
        <v>333</v>
      </c>
      <c r="D100" s="7" t="s">
        <v>333</v>
      </c>
      <c r="E100" s="17" t="s">
        <v>273</v>
      </c>
      <c r="F100" s="7" t="s">
        <v>333</v>
      </c>
      <c r="G100" s="3" t="s">
        <v>111</v>
      </c>
      <c r="I100" s="2" t="s">
        <v>236</v>
      </c>
      <c r="M100" s="8" t="s">
        <v>237</v>
      </c>
      <c r="N100" s="14" t="s">
        <v>334</v>
      </c>
      <c r="O100" s="1" t="s">
        <v>295</v>
      </c>
      <c r="P100" s="18" t="s">
        <v>335</v>
      </c>
      <c r="Q100" s="18" t="s">
        <v>297</v>
      </c>
      <c r="R100" s="18" t="s">
        <v>336</v>
      </c>
      <c r="S100" s="20" t="s">
        <v>337</v>
      </c>
      <c r="T100" s="18" t="s">
        <v>338</v>
      </c>
      <c r="U100" s="18" t="s">
        <v>300</v>
      </c>
      <c r="V100" s="18" t="s">
        <v>339</v>
      </c>
      <c r="W100" s="21" t="s">
        <v>340</v>
      </c>
      <c r="X100" s="18" t="s">
        <v>341</v>
      </c>
      <c r="Y100" s="18" t="s">
        <v>342</v>
      </c>
      <c r="Z100" s="18" t="s">
        <v>343</v>
      </c>
      <c r="AA100" s="18" t="s">
        <v>344</v>
      </c>
      <c r="AB100" s="18" t="s">
        <v>345</v>
      </c>
    </row>
    <row r="101" spans="1:28">
      <c r="F101" s="22" t="s">
        <v>346</v>
      </c>
      <c r="N101" s="14" t="s">
        <v>347</v>
      </c>
      <c r="O101" s="1" t="s">
        <v>295</v>
      </c>
      <c r="P101" s="18" t="s">
        <v>348</v>
      </c>
      <c r="Q101" s="18" t="s">
        <v>349</v>
      </c>
      <c r="R101" s="21" t="s">
        <v>350</v>
      </c>
      <c r="S101" s="18" t="s">
        <v>351</v>
      </c>
      <c r="T101" s="18"/>
      <c r="U101" s="18" t="s">
        <v>300</v>
      </c>
      <c r="V101" s="18" t="s">
        <v>352</v>
      </c>
      <c r="W101" s="18" t="s">
        <v>353</v>
      </c>
      <c r="X101" s="21" t="s">
        <v>354</v>
      </c>
      <c r="Y101" s="18" t="s">
        <v>355</v>
      </c>
      <c r="Z101" s="18" t="s">
        <v>356</v>
      </c>
      <c r="AA101" s="18" t="s">
        <v>357</v>
      </c>
      <c r="AB101" s="18" t="s">
        <v>358</v>
      </c>
    </row>
    <row r="102" spans="1:28">
      <c r="V102" s="1" t="s">
        <v>359</v>
      </c>
    </row>
    <row r="103" spans="1:28"/>
    <row r="104" spans="1:28"/>
    <row r="105" spans="1:28"/>
    <row r="106" spans="1:28"/>
    <row r="107" spans="1:28"/>
    <row r="108" spans="1:28"/>
    <row r="109" spans="1:28"/>
    <row r="110" spans="1:28"/>
    <row r="111" spans="1:28"/>
    <row r="112" spans="1:28"/>
    <row r="113"/>
    <row r="114"/>
    <row r="115"/>
    <row r="124"/>
    <row r="125"/>
    <row r="126"/>
    <row r="127"/>
    <row r="128"/>
    <row r="129"/>
    <row r="130"/>
    <row r="131"/>
    <row r="132"/>
    <row r="133"/>
    <row r="134"/>
    <row r="135"/>
    <row r="188"/>
    <row r="189"/>
    <row r="190"/>
    <row r="191"/>
    <row r="192"/>
  </sheetData>
  <pageMargins left="0.78749999999999998" right="0.78749999999999998" top="0.78749999999999998" bottom="0.78749999999999998" header="0.51180555555555496" footer="0.51180555555555496"/>
  <pageSetup firstPageNumber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>2</cp:revision>
  <dcterms:created xsi:type="dcterms:W3CDTF">2021-05-14T23:28:48Z</dcterms:created>
  <dcterms:modified xsi:type="dcterms:W3CDTF">2026-07-13T18:55:13Z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