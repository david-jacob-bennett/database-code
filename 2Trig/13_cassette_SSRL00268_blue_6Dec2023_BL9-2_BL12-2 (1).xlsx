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70" documentId="11_B650073CF11A4E9A4921F9382F1C57E030D31D08" xr6:coauthVersionLast="47" xr6:coauthVersionMax="47" xr10:uidLastSave="{C20E27B2-1587-4F4F-8748-80BBEADDDA2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agcwdNbjXsWicqn6hC3Zvm1X/bs+JKK4hbOBvgw/kk="/>
    </ext>
  </extLst>
</workbook>
</file>

<file path=xl/calcChain.xml><?xml version="1.0" encoding="utf-8"?>
<calcChain xmlns="http://schemas.openxmlformats.org/spreadsheetml/2006/main">
  <c r="AC104" i="1" l="1"/>
  <c r="AC103" i="1"/>
  <c r="AC102" i="1"/>
  <c r="AC123" i="1"/>
  <c r="AC122" i="1"/>
  <c r="AC121" i="1"/>
  <c r="N119" i="1"/>
  <c r="N118" i="1"/>
  <c r="N114" i="1"/>
  <c r="N113" i="1"/>
  <c r="N107" i="1"/>
  <c r="N100" i="1"/>
  <c r="N99" i="1"/>
</calcChain>
</file>

<file path=xl/sharedStrings.xml><?xml version="1.0" encoding="utf-8"?>
<sst xmlns="http://schemas.openxmlformats.org/spreadsheetml/2006/main" count="1457" uniqueCount="623">
  <si>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</si>
  <si>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</si>
  <si>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</si>
  <si>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</si>
  <si>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</si>
  <si>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</si>
  <si>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</si>
  <si>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</si>
  <si>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Crystal minor axis (um)</t>
  </si>
  <si>
    <t>Crystal major axis (um)</t>
  </si>
  <si>
    <t>Person</t>
  </si>
  <si>
    <t>Diffraction results</t>
  </si>
  <si>
    <t>spot shape</t>
  </si>
  <si>
    <t>fraction indexed</t>
  </si>
  <si>
    <t>Mosaicity</t>
  </si>
  <si>
    <t>final ISa</t>
  </si>
  <si>
    <t>Frames to remove</t>
  </si>
  <si>
    <t>space group</t>
  </si>
  <si>
    <t>unit cell</t>
  </si>
  <si>
    <t>iso resolution</t>
  </si>
  <si>
    <t>iso rmeas</t>
  </si>
  <si>
    <t>iso num uniq reflections</t>
  </si>
  <si>
    <t>iso overall completeness %</t>
  </si>
  <si>
    <t>iso overall redundancy</t>
  </si>
  <si>
    <t>iso min CC1/2</t>
  </si>
  <si>
    <t>LLG</t>
  </si>
  <si>
    <t>TFZ</t>
  </si>
  <si>
    <t>Fit to density</t>
  </si>
  <si>
    <t>norm LLG</t>
  </si>
  <si>
    <t>ansio resolution</t>
  </si>
  <si>
    <t>ansio rmeasure</t>
  </si>
  <si>
    <t>ansio completeness</t>
  </si>
  <si>
    <t>aniso elipsoid A</t>
  </si>
  <si>
    <t>aniso elipsoid B</t>
  </si>
  <si>
    <t>aniso elipsoid C</t>
  </si>
  <si>
    <t>UNKOWN</t>
  </si>
  <si>
    <t>A1</t>
  </si>
  <si>
    <t>SSRL88217 barcode pin</t>
  </si>
  <si>
    <t>Please place barcode pin in this port</t>
  </si>
  <si>
    <t>A2</t>
  </si>
  <si>
    <t>SUMO 1TEL-PA-DARPin</t>
  </si>
  <si>
    <t>needles</t>
  </si>
  <si>
    <t>Salt RX H8 9mg</t>
  </si>
  <si>
    <t>Jacob</t>
  </si>
  <si>
    <t>ice, no diffraction</t>
  </si>
  <si>
    <t>A3</t>
  </si>
  <si>
    <t>1T-PA-DARPin (NO SUMO)</t>
  </si>
  <si>
    <t>BLOBS</t>
  </si>
  <si>
    <t>PEGCU A1 16mg/mL</t>
  </si>
  <si>
    <t>-</t>
  </si>
  <si>
    <t>Maria</t>
  </si>
  <si>
    <t>no diffraction</t>
  </si>
  <si>
    <t>A4</t>
  </si>
  <si>
    <t>A5</t>
  </si>
  <si>
    <t>A6</t>
  </si>
  <si>
    <t>no crystal</t>
  </si>
  <si>
    <t>A7</t>
  </si>
  <si>
    <t>no loop</t>
  </si>
  <si>
    <t>A8</t>
  </si>
  <si>
    <t>rectangular cylinder</t>
  </si>
  <si>
    <t>Salt RX H5 18mg</t>
  </si>
  <si>
    <t>B1</t>
  </si>
  <si>
    <t>PEGCU D1 16mg/mL</t>
  </si>
  <si>
    <t>B2</t>
  </si>
  <si>
    <t>B3</t>
  </si>
  <si>
    <t>Rectangular cylinder</t>
  </si>
  <si>
    <t>B4</t>
  </si>
  <si>
    <t>1TEL-GGG-DARPin SUMO</t>
  </si>
  <si>
    <t>rough block</t>
  </si>
  <si>
    <t>PEG Cust H9 9mg</t>
  </si>
  <si>
    <t>empty loop</t>
  </si>
  <si>
    <t>B5</t>
  </si>
  <si>
    <t>B6</t>
  </si>
  <si>
    <t>B7</t>
  </si>
  <si>
    <t>short needles</t>
  </si>
  <si>
    <t>PEG Ion D2 1mg</t>
  </si>
  <si>
    <t>B8</t>
  </si>
  <si>
    <t>1TS-DARPin</t>
  </si>
  <si>
    <t>Rice</t>
  </si>
  <si>
    <t>SALTRX E3 9mg/mL</t>
  </si>
  <si>
    <t>8 A</t>
  </si>
  <si>
    <t>Recollect on BL12-2, XDS=3.2 A</t>
  </si>
  <si>
    <t>Autoproc cannot index</t>
  </si>
  <si>
    <t>XDS gives negative Wilson B until 4.22 A</t>
  </si>
  <si>
    <t>P65</t>
  </si>
  <si>
    <t>103.123 103.123 47.889 90.000 90.000 120.000</t>
  </si>
  <si>
    <t>4.22 (XDS--&gt;Xtriage, input says 4.44)</t>
  </si>
  <si>
    <t>C1</t>
  </si>
  <si>
    <t>C2</t>
  </si>
  <si>
    <t>C3</t>
  </si>
  <si>
    <t>8.7 A</t>
  </si>
  <si>
    <t>1TSR-DARPin (2F) (9DVG)</t>
  </si>
  <si>
    <t>Recollect on BL12-2, XDS=3.6 A</t>
  </si>
  <si>
    <t>okay</t>
  </si>
  <si>
    <t>0.61</t>
  </si>
  <si>
    <t>23.73</t>
  </si>
  <si>
    <t>none</t>
  </si>
  <si>
    <t>P61</t>
  </si>
  <si>
    <t>101.461 101.461 48.077 90.0 90.0 120.0</t>
  </si>
  <si>
    <t>3.542</t>
  </si>
  <si>
    <t>0.196</t>
  </si>
  <si>
    <t>3571</t>
  </si>
  <si>
    <t>100.0</t>
  </si>
  <si>
    <t>20.5</t>
  </si>
  <si>
    <t>0.437</t>
  </si>
  <si>
    <t>3.231</t>
  </si>
  <si>
    <t>3.354</t>
  </si>
  <si>
    <t>3.072</t>
  </si>
  <si>
    <t>rescale with frames 1-1300</t>
  </si>
  <si>
    <t>C4</t>
  </si>
  <si>
    <t>C5</t>
  </si>
  <si>
    <t>C6</t>
  </si>
  <si>
    <t>C7</t>
  </si>
  <si>
    <t>SUMO 1TEL-GG-DARPin</t>
  </si>
  <si>
    <t>icicle</t>
  </si>
  <si>
    <t>PEG Cust. B5 9mg/ml</t>
  </si>
  <si>
    <t>C8</t>
  </si>
  <si>
    <t>D1</t>
  </si>
  <si>
    <t>D2</t>
  </si>
  <si>
    <t>rectangle</t>
  </si>
  <si>
    <t>PEG Cust. F4 9mg/ml</t>
  </si>
  <si>
    <t>broken loop</t>
  </si>
  <si>
    <t>D3</t>
  </si>
  <si>
    <t>D4</t>
  </si>
  <si>
    <t>D5</t>
  </si>
  <si>
    <t>Short needles</t>
  </si>
  <si>
    <t>Salt RX H9 18mg?</t>
  </si>
  <si>
    <t>G6C</t>
  </si>
  <si>
    <t>D6</t>
  </si>
  <si>
    <t>D7</t>
  </si>
  <si>
    <t>D8</t>
  </si>
  <si>
    <t>bad ice</t>
  </si>
  <si>
    <t>E1</t>
  </si>
  <si>
    <t>Short rectangles</t>
  </si>
  <si>
    <t>PEG Cust A3 9mg</t>
  </si>
  <si>
    <t>bad ice, no diffraction</t>
  </si>
  <si>
    <t>E2</t>
  </si>
  <si>
    <t>Salt RX H9 18mg</t>
  </si>
  <si>
    <t>Weak diffraction</t>
  </si>
  <si>
    <t>E3</t>
  </si>
  <si>
    <t>Thin needles</t>
  </si>
  <si>
    <t>PEG Cus A3 1mg/ml</t>
  </si>
  <si>
    <t>E4</t>
  </si>
  <si>
    <t>Salt RX A3 9mg</t>
  </si>
  <si>
    <t>E5</t>
  </si>
  <si>
    <t>E6</t>
  </si>
  <si>
    <t>E7</t>
  </si>
  <si>
    <t>E8</t>
  </si>
  <si>
    <t>F1</t>
  </si>
  <si>
    <t>1TEL-MR-DARPIN</t>
  </si>
  <si>
    <t>INDEX F7 18mg/mL</t>
  </si>
  <si>
    <t>Eli</t>
  </si>
  <si>
    <t>F2</t>
  </si>
  <si>
    <t>F3</t>
  </si>
  <si>
    <t>Mystery Crystal</t>
  </si>
  <si>
    <t>rectangular block</t>
  </si>
  <si>
    <t>6.1 A</t>
  </si>
  <si>
    <t>Recollect on BL12-2, XDS=6.3 A</t>
  </si>
  <si>
    <t>Not processed b/c XDS was 4.1 A</t>
  </si>
  <si>
    <t>P6</t>
  </si>
  <si>
    <t>99.935 99.935 58.389 90.000 90.000 120.000</t>
  </si>
  <si>
    <t>F4</t>
  </si>
  <si>
    <t>F5</t>
  </si>
  <si>
    <t>F6</t>
  </si>
  <si>
    <t>F7</t>
  </si>
  <si>
    <t>F8</t>
  </si>
  <si>
    <t>some ice, no diffraction, no crystal?</t>
  </si>
  <si>
    <t>G1</t>
  </si>
  <si>
    <t>no diffraction, no crystal?</t>
  </si>
  <si>
    <t>G2</t>
  </si>
  <si>
    <t>Large cylinder (broken into peices)</t>
  </si>
  <si>
    <t>Salt RX E1 9mg</t>
  </si>
  <si>
    <t>4.0 A, collect, XDS=3.4 A, suspected broken periodicity</t>
  </si>
  <si>
    <t>okay. smeary in 1 dimension</t>
  </si>
  <si>
    <t>0.0539</t>
  </si>
  <si>
    <t>0.57</t>
  </si>
  <si>
    <t>19.41</t>
  </si>
  <si>
    <t>98.335 98.335 58.251 90.0 90.0 120.0</t>
  </si>
  <si>
    <t>4.00</t>
  </si>
  <si>
    <t>0.215</t>
  </si>
  <si>
    <t>2800</t>
  </si>
  <si>
    <t>99.9</t>
  </si>
  <si>
    <t>8.1</t>
  </si>
  <si>
    <t>0.603</t>
  </si>
  <si>
    <t>4.155</t>
  </si>
  <si>
    <t>4.226</t>
  </si>
  <si>
    <t>4.023</t>
  </si>
  <si>
    <t>G2Collect122</t>
  </si>
  <si>
    <t>0.289</t>
  </si>
  <si>
    <t>0.42</t>
  </si>
  <si>
    <t>2.29</t>
  </si>
  <si>
    <t>P21212</t>
  </si>
  <si>
    <t>57.647 98.551 171.434 90.0 90.0 90.0</t>
  </si>
  <si>
    <t>4.243</t>
  </si>
  <si>
    <t>0.424</t>
  </si>
  <si>
    <t>7334</t>
  </si>
  <si>
    <t>99.4</t>
  </si>
  <si>
    <t>13.4</t>
  </si>
  <si>
    <t>0.507</t>
  </si>
  <si>
    <t>3.813</t>
  </si>
  <si>
    <t>rescale in P65</t>
  </si>
  <si>
    <t>0.293</t>
  </si>
  <si>
    <t>0.37</t>
  </si>
  <si>
    <t>32.70</t>
  </si>
  <si>
    <t>98.839 98.839 57.682 90.0 90.0 120.0</t>
  </si>
  <si>
    <t>3.969</t>
  </si>
  <si>
    <t>0.148</t>
  </si>
  <si>
    <t>2858</t>
  </si>
  <si>
    <t>21.2</t>
  </si>
  <si>
    <t>0.533</t>
  </si>
  <si>
    <t>3.564</t>
  </si>
  <si>
    <t>(76% complete, CC1/2=0.338)</t>
  </si>
  <si>
    <t>G3</t>
  </si>
  <si>
    <t>G4</t>
  </si>
  <si>
    <t>8.1 A</t>
  </si>
  <si>
    <t>G5</t>
  </si>
  <si>
    <t>G6</t>
  </si>
  <si>
    <t>Salt RX E1 18mg</t>
  </si>
  <si>
    <t>4.0 A, collect, XDS=3.1 A, force same symm and cell as G2</t>
  </si>
  <si>
    <t>0.0240</t>
  </si>
  <si>
    <t>0.63</t>
  </si>
  <si>
    <t>24.72</t>
  </si>
  <si>
    <t>97.140 97.140 57.377 90.0 90.0 120.0</t>
  </si>
  <si>
    <t>3.990</t>
  </si>
  <si>
    <t>0.941</t>
  </si>
  <si>
    <t xml:space="preserve">2718 </t>
  </si>
  <si>
    <t>9.5</t>
  </si>
  <si>
    <t>0.618</t>
  </si>
  <si>
    <t>3.340</t>
  </si>
  <si>
    <t>set cell</t>
  </si>
  <si>
    <t>delete 100-430 and rescale</t>
  </si>
  <si>
    <t>0.0176, 0.0264</t>
  </si>
  <si>
    <t>0.57, 0.57</t>
  </si>
  <si>
    <t>39.13, 38.72</t>
  </si>
  <si>
    <t>100-430</t>
  </si>
  <si>
    <t>97.1583 97.1583 57.3784 90.0 90.0 120.0</t>
  </si>
  <si>
    <t>3.981</t>
  </si>
  <si>
    <t>0.333</t>
  </si>
  <si>
    <t>2670</t>
  </si>
  <si>
    <t>97.6</t>
  </si>
  <si>
    <t>5.3</t>
  </si>
  <si>
    <t>0.812</t>
  </si>
  <si>
    <t>remove frames -2</t>
  </si>
  <si>
    <t>delete 1-400 and rescale</t>
  </si>
  <si>
    <t>0.0255</t>
  </si>
  <si>
    <t>0.52</t>
  </si>
  <si>
    <t>35.07</t>
  </si>
  <si>
    <t>1-430</t>
  </si>
  <si>
    <t>97.223 97.223 57.403 90.0 90.0 120.0</t>
  </si>
  <si>
    <t>0.213</t>
  </si>
  <si>
    <t>2702</t>
  </si>
  <si>
    <t>98.2</t>
  </si>
  <si>
    <t>4.5</t>
  </si>
  <si>
    <t>0.798</t>
  </si>
  <si>
    <t>3.187</t>
  </si>
  <si>
    <t>G6Collect122 mr frames</t>
  </si>
  <si>
    <t>Recollect on BL12-2, XDS=3.1 A</t>
  </si>
  <si>
    <t>0.405</t>
  </si>
  <si>
    <t>0.90</t>
  </si>
  <si>
    <t>12.03</t>
  </si>
  <si>
    <t>P63</t>
  </si>
  <si>
    <t>196.423 196.423 57.809 90.0 90.0 120.0</t>
  </si>
  <si>
    <t>3.494</t>
  </si>
  <si>
    <t>0.347</t>
  </si>
  <si>
    <t>15151</t>
  </si>
  <si>
    <t>91.63</t>
  </si>
  <si>
    <t>19.2</t>
  </si>
  <si>
    <t>0.356</t>
  </si>
  <si>
    <t>3.250</t>
  </si>
  <si>
    <t>rescale in P65, rm frames</t>
  </si>
  <si>
    <t>0.4412</t>
  </si>
  <si>
    <t>0.810</t>
  </si>
  <si>
    <t>12.43</t>
  </si>
  <si>
    <t>2600-3600</t>
  </si>
  <si>
    <t>196.3 196.3 57.8 90.0 90.0 120.0</t>
  </si>
  <si>
    <t>3.505</t>
  </si>
  <si>
    <t>0.260</t>
  </si>
  <si>
    <t>14960</t>
  </si>
  <si>
    <t>91.5</t>
  </si>
  <si>
    <t>13.9</t>
  </si>
  <si>
    <t>0.431</t>
  </si>
  <si>
    <t>3.209</t>
  </si>
  <si>
    <t>(67% completeness, CC1/2=0.602)</t>
  </si>
  <si>
    <t>remove frames and P2</t>
  </si>
  <si>
    <t>0.41</t>
  </si>
  <si>
    <t>0.45</t>
  </si>
  <si>
    <t>16.96</t>
  </si>
  <si>
    <t>P2</t>
  </si>
  <si>
    <t>195.87   57.77  196.31  90.0 119.91  90.0</t>
  </si>
  <si>
    <t>3.622</t>
  </si>
  <si>
    <t>0.210</t>
  </si>
  <si>
    <t>40787</t>
  </si>
  <si>
    <t>91.9</t>
  </si>
  <si>
    <t>5</t>
  </si>
  <si>
    <t>-0.071</t>
  </si>
  <si>
    <t>3.198</t>
  </si>
  <si>
    <t>4.194</t>
  </si>
  <si>
    <t>3.203</t>
  </si>
  <si>
    <t>3.660</t>
  </si>
  <si>
    <t>G7</t>
  </si>
  <si>
    <t>SUMO 1TEL-GGG-DARPin</t>
  </si>
  <si>
    <t>Needles (semi-thick)</t>
  </si>
  <si>
    <t>PEG Ion A3 18mg/ml</t>
  </si>
  <si>
    <t>G8</t>
  </si>
  <si>
    <t>H1</t>
  </si>
  <si>
    <t>H2</t>
  </si>
  <si>
    <t>H3</t>
  </si>
  <si>
    <t>H4</t>
  </si>
  <si>
    <t>some ice, no diffraction</t>
  </si>
  <si>
    <t>H5</t>
  </si>
  <si>
    <t>H6</t>
  </si>
  <si>
    <t>H7</t>
  </si>
  <si>
    <t>1TEL-GG-UBA</t>
  </si>
  <si>
    <t>Tear drop</t>
  </si>
  <si>
    <t>INDEX F9 9mg/mL</t>
  </si>
  <si>
    <t>3.1 A, collect</t>
  </si>
  <si>
    <t>0.48</t>
  </si>
  <si>
    <t>15.85</t>
  </si>
  <si>
    <t>67.352 67.352 56.818 90.0 90.0 120.0</t>
  </si>
  <si>
    <t>1.989</t>
  </si>
  <si>
    <t>0.216</t>
  </si>
  <si>
    <t>10076</t>
  </si>
  <si>
    <t>99.1</t>
  </si>
  <si>
    <t>0.490</t>
  </si>
  <si>
    <t>2.155</t>
  </si>
  <si>
    <t>H8</t>
  </si>
  <si>
    <t>9 crystals in same loop, overlapping lattices</t>
  </si>
  <si>
    <t>I1</t>
  </si>
  <si>
    <t>10xHIS-VPS34 _Dilution_2_RD-I-86 SOY OIL</t>
  </si>
  <si>
    <t>Hexagonal Prisms, 0.2 loop</t>
  </si>
  <si>
    <t>PEG CUSTOM A5 45mg/ml</t>
  </si>
  <si>
    <t>Wisdom</t>
  </si>
  <si>
    <t>4.6 A, multiple crystals</t>
  </si>
  <si>
    <t>I2</t>
  </si>
  <si>
    <t>8.4 A</t>
  </si>
  <si>
    <t>I3</t>
  </si>
  <si>
    <t>13.1 A</t>
  </si>
  <si>
    <t>I4</t>
  </si>
  <si>
    <t>9.1 A</t>
  </si>
  <si>
    <t>I5</t>
  </si>
  <si>
    <t>10xHIS-VPS34 _Dilution_1_RD-I-86 SOY OIL</t>
  </si>
  <si>
    <t>PEG CUSTOM A5 10mg/ml</t>
  </si>
  <si>
    <t>I6</t>
  </si>
  <si>
    <t>I7</t>
  </si>
  <si>
    <t>I8</t>
  </si>
  <si>
    <t>6.0 A</t>
  </si>
  <si>
    <t>J1</t>
  </si>
  <si>
    <t>PEG CUSTOM A5 25mg/ml</t>
  </si>
  <si>
    <t>17.5 A</t>
  </si>
  <si>
    <t>J2</t>
  </si>
  <si>
    <t>7.8 A</t>
  </si>
  <si>
    <t>J3</t>
  </si>
  <si>
    <t>6.9 A</t>
  </si>
  <si>
    <t>J4</t>
  </si>
  <si>
    <t>6.3 A</t>
  </si>
  <si>
    <t>J5</t>
  </si>
  <si>
    <t>10xHIS-VPS34 _Dilution_2_RD-I-86 DMSO</t>
  </si>
  <si>
    <t>PEG CUSTOM A6 45mg/ml</t>
  </si>
  <si>
    <t>J6</t>
  </si>
  <si>
    <t>J7</t>
  </si>
  <si>
    <t>7.7 A</t>
  </si>
  <si>
    <t>J8</t>
  </si>
  <si>
    <t>7.1 A, multiple crystals?</t>
  </si>
  <si>
    <t>K1</t>
  </si>
  <si>
    <t>8.3 A, smeary</t>
  </si>
  <si>
    <t>K2</t>
  </si>
  <si>
    <t>PEG CUSTOM A6 10mg/ml</t>
  </si>
  <si>
    <t>8.8 A, very smeary</t>
  </si>
  <si>
    <t>K3</t>
  </si>
  <si>
    <t>9 A</t>
  </si>
  <si>
    <t>K4</t>
  </si>
  <si>
    <t>K5</t>
  </si>
  <si>
    <t>K6</t>
  </si>
  <si>
    <t>10xHIS-VPS34 _Dilution_1_RD-I-86 DMSO</t>
  </si>
  <si>
    <t>PEG CUSTOM A6 25mg/ml</t>
  </si>
  <si>
    <t>3.8 A, collected, XDS=2.7 A</t>
  </si>
  <si>
    <t>0.557</t>
  </si>
  <si>
    <t>15.19</t>
  </si>
  <si>
    <t>P41212</t>
  </si>
  <si>
    <t>113.719 113.719 145.038 90.0 90.0 90.0</t>
  </si>
  <si>
    <t>2.775</t>
  </si>
  <si>
    <t>0.350</t>
  </si>
  <si>
    <t>23223</t>
  </si>
  <si>
    <t>94.0</t>
  </si>
  <si>
    <t>0.367</t>
  </si>
  <si>
    <t>3.690</t>
  </si>
  <si>
    <t>rescale in P2</t>
  </si>
  <si>
    <t>0.40</t>
  </si>
  <si>
    <t>20.26</t>
  </si>
  <si>
    <t>113.767 113.833 145.143 90.000 90.034 90.000</t>
  </si>
  <si>
    <t>3.142</t>
  </si>
  <si>
    <t>0.214</t>
  </si>
  <si>
    <t>58266</t>
  </si>
  <si>
    <t>89.9</t>
  </si>
  <si>
    <t>0.409</t>
  </si>
  <si>
    <t>3.170</t>
  </si>
  <si>
    <t>rescale in P222</t>
  </si>
  <si>
    <t>16.33</t>
  </si>
  <si>
    <t>P222</t>
  </si>
  <si>
    <t>113.715 113.792 145.076 90.0 90.0 90.0</t>
  </si>
  <si>
    <t>3.013</t>
  </si>
  <si>
    <t>0.256</t>
  </si>
  <si>
    <t>34985</t>
  </si>
  <si>
    <t>92.2</t>
  </si>
  <si>
    <t>0.372</t>
  </si>
  <si>
    <t>2.871</t>
  </si>
  <si>
    <t>rescale in P4</t>
  </si>
  <si>
    <t>0.5568</t>
  </si>
  <si>
    <t>15.64</t>
  </si>
  <si>
    <t>P4</t>
  </si>
  <si>
    <t>113.717 113.717 145.036 90.0 90.0 90.0</t>
  </si>
  <si>
    <t>2.983</t>
  </si>
  <si>
    <t>0.274</t>
  </si>
  <si>
    <t>34751</t>
  </si>
  <si>
    <t>92.4</t>
  </si>
  <si>
    <t>0.328</t>
  </si>
  <si>
    <t>2.869</t>
  </si>
  <si>
    <t>BL12-2, rescale with no SG</t>
  </si>
  <si>
    <t>0.9178</t>
  </si>
  <si>
    <t>26.16</t>
  </si>
  <si>
    <t>114.088 114.088 145.397 90.0 90.0 90.0</t>
  </si>
  <si>
    <t>2.357</t>
  </si>
  <si>
    <t>0.211</t>
  </si>
  <si>
    <t>40289</t>
  </si>
  <si>
    <t>0.313</t>
  </si>
  <si>
    <t>7200</t>
  </si>
  <si>
    <t>92</t>
  </si>
  <si>
    <t>excellent</t>
  </si>
  <si>
    <t>2.239</t>
  </si>
  <si>
    <t>Recollect on BL12-2, XDS=2.4 A, scale in P2</t>
  </si>
  <si>
    <t>0.918</t>
  </si>
  <si>
    <t>27.51</t>
  </si>
  <si>
    <t>114.147 114.019 145.398 90.000 89.989 90.000</t>
  </si>
  <si>
    <t>2.577</t>
  </si>
  <si>
    <t>0.151</t>
  </si>
  <si>
    <t>116701</t>
  </si>
  <si>
    <t>0.362</t>
  </si>
  <si>
    <t>22518</t>
  </si>
  <si>
    <t>123</t>
  </si>
  <si>
    <t>2.447</t>
  </si>
  <si>
    <t>P21</t>
  </si>
  <si>
    <t>12669</t>
  </si>
  <si>
    <t>109</t>
  </si>
  <si>
    <t>P212121</t>
  </si>
  <si>
    <t>K7</t>
  </si>
  <si>
    <t>7A</t>
  </si>
  <si>
    <t>K8</t>
  </si>
  <si>
    <t>3.8 A, collected, XDS=3.9 A</t>
  </si>
  <si>
    <t>0.119</t>
  </si>
  <si>
    <t>12.46</t>
  </si>
  <si>
    <t>1-274</t>
  </si>
  <si>
    <t>P422</t>
  </si>
  <si>
    <t>113.900 113.900 143.626 90.0 90.0 90.0</t>
  </si>
  <si>
    <t>4.326</t>
  </si>
  <si>
    <t>1.206</t>
  </si>
  <si>
    <t>6775</t>
  </si>
  <si>
    <t>9.1</t>
  </si>
  <si>
    <t>0.517</t>
  </si>
  <si>
    <t>0.50</t>
  </si>
  <si>
    <t>18.92</t>
  </si>
  <si>
    <t>1-195</t>
  </si>
  <si>
    <t>113.059 143.056 113.370 90.000 90.275 90.000</t>
  </si>
  <si>
    <t>7.196</t>
  </si>
  <si>
    <t>0.284</t>
  </si>
  <si>
    <t>5016</t>
  </si>
  <si>
    <t>93.6</t>
  </si>
  <si>
    <t>2.8</t>
  </si>
  <si>
    <t>0.604</t>
  </si>
  <si>
    <t>4.185</t>
  </si>
  <si>
    <t>rescale in P2, cut frames</t>
  </si>
  <si>
    <t>0.2587</t>
  </si>
  <si>
    <t>14.89</t>
  </si>
  <si>
    <t>1-400</t>
  </si>
  <si>
    <t>112.670 142.844 113.129 90.000 90.351 90.000</t>
  </si>
  <si>
    <t>4.522</t>
  </si>
  <si>
    <t>16067</t>
  </si>
  <si>
    <t>76.1</t>
  </si>
  <si>
    <t>2.6</t>
  </si>
  <si>
    <t>0.331</t>
  </si>
  <si>
    <t>4.231</t>
  </si>
  <si>
    <t>0.120</t>
  </si>
  <si>
    <t>0.49</t>
  </si>
  <si>
    <t>14.84</t>
  </si>
  <si>
    <t>1-216</t>
  </si>
  <si>
    <t>113.533 113.885 143.462 90.0 90.0 90.0</t>
  </si>
  <si>
    <t>7.103</t>
  </si>
  <si>
    <t>1-253</t>
  </si>
  <si>
    <t>113.893 113.893 143.615 90.0 90.0 90.0</t>
  </si>
  <si>
    <t>5.082</t>
  </si>
  <si>
    <t>0.646</t>
  </si>
  <si>
    <t>7625</t>
  </si>
  <si>
    <t>99.6</t>
  </si>
  <si>
    <t>5.0</t>
  </si>
  <si>
    <t>0.377</t>
  </si>
  <si>
    <t>3.918</t>
  </si>
  <si>
    <t>Recollect on BL12-2, XDS=2.7 A, scale in P2</t>
  </si>
  <si>
    <t>0.714</t>
  </si>
  <si>
    <t>18.26</t>
  </si>
  <si>
    <t>113.840 113.581 143.885 90.000 90.185 90.000</t>
  </si>
  <si>
    <t>2.827</t>
  </si>
  <si>
    <t>0.167</t>
  </si>
  <si>
    <t>85513</t>
  </si>
  <si>
    <t>97.3</t>
  </si>
  <si>
    <t>7.1</t>
  </si>
  <si>
    <t>0.340</t>
  </si>
  <si>
    <t>2.785</t>
  </si>
  <si>
    <t>L1</t>
  </si>
  <si>
    <t xml:space="preserve">6 A </t>
  </si>
  <si>
    <t>L2</t>
  </si>
  <si>
    <t>10xHIS-VPS34 _Dilution_1_RD-I-53 DMSO</t>
  </si>
  <si>
    <t>PEG CUSTOM A7 10mg/ml</t>
  </si>
  <si>
    <t>2.3 A, some ice, collected, xds=2.5 A</t>
  </si>
  <si>
    <t>113.509 113.509 144.926 90.0 90.0 90.0</t>
  </si>
  <si>
    <t>0.241</t>
  </si>
  <si>
    <t>25836</t>
  </si>
  <si>
    <t>96.2</t>
  </si>
  <si>
    <t>13.2</t>
  </si>
  <si>
    <t>0.394</t>
  </si>
  <si>
    <t>2.632</t>
  </si>
  <si>
    <t>0.44</t>
  </si>
  <si>
    <t>12.42</t>
  </si>
  <si>
    <t>113.243 113.270 144.568 90.000 90.148 90.000</t>
  </si>
  <si>
    <t>2.861</t>
  </si>
  <si>
    <t>0.186</t>
  </si>
  <si>
    <t>74624</t>
  </si>
  <si>
    <t>88.3</t>
  </si>
  <si>
    <t>3.9</t>
  </si>
  <si>
    <t>0.335</t>
  </si>
  <si>
    <t>2.786</t>
  </si>
  <si>
    <t>13.36</t>
  </si>
  <si>
    <t>113.440 113.399 144.817 90.0 90.0 90.0</t>
  </si>
  <si>
    <t>2.768</t>
  </si>
  <si>
    <t>0.218</t>
  </si>
  <si>
    <t>45722</t>
  </si>
  <si>
    <t>94.6</t>
  </si>
  <si>
    <t>6.9</t>
  </si>
  <si>
    <t>0.376</t>
  </si>
  <si>
    <t>2.707</t>
  </si>
  <si>
    <t>0.4555</t>
  </si>
  <si>
    <t>0.380</t>
  </si>
  <si>
    <t>19.86</t>
  </si>
  <si>
    <t>113.537 113.537 145.023 90.0 90.0 90.0</t>
  </si>
  <si>
    <t>2.146</t>
  </si>
  <si>
    <t>0.146</t>
  </si>
  <si>
    <t>50432</t>
  </si>
  <si>
    <t>27.0</t>
  </si>
  <si>
    <t>0.373</t>
  </si>
  <si>
    <t>2.275</t>
  </si>
  <si>
    <t>Recollect on BL12-2, XDS=2.1 A, scale in P2</t>
  </si>
  <si>
    <t>0.375</t>
  </si>
  <si>
    <t>21.88</t>
  </si>
  <si>
    <t>113.350 113.412 144.811 90.000 90.098 90.000</t>
  </si>
  <si>
    <t>2.267</t>
  </si>
  <si>
    <t>0.117</t>
  </si>
  <si>
    <t>153333</t>
  </si>
  <si>
    <t>90.3</t>
  </si>
  <si>
    <t>7.6</t>
  </si>
  <si>
    <t>0.353</t>
  </si>
  <si>
    <t>2.193</t>
  </si>
  <si>
    <t>L3</t>
  </si>
  <si>
    <t>3.2 A, collected, XDS=2.5 A</t>
  </si>
  <si>
    <t>good</t>
  </si>
  <si>
    <t>781-900</t>
  </si>
  <si>
    <t>113.489 113.489 144.680 90.0 90.0 90.0</t>
  </si>
  <si>
    <t>28247</t>
  </si>
  <si>
    <t>98.5</t>
  </si>
  <si>
    <t>11.5</t>
  </si>
  <si>
    <t>0.334</t>
  </si>
  <si>
    <t>2.615</t>
  </si>
  <si>
    <t>33.74</t>
  </si>
  <si>
    <t>809-900</t>
  </si>
  <si>
    <t>113.209 144.865 113.909 90.000 90.073 90.000</t>
  </si>
  <si>
    <t>2.850</t>
  </si>
  <si>
    <t>0.123</t>
  </si>
  <si>
    <t>84380</t>
  </si>
  <si>
    <t>98.6</t>
  </si>
  <si>
    <t>3.2</t>
  </si>
  <si>
    <t>0.352</t>
  </si>
  <si>
    <t>2.778</t>
  </si>
  <si>
    <t>27.55</t>
  </si>
  <si>
    <t>788-900</t>
  </si>
  <si>
    <t>113.222 113.918 144.871 90.0 90.0 90.0</t>
  </si>
  <si>
    <t>2.746</t>
  </si>
  <si>
    <t>0.140</t>
  </si>
  <si>
    <t>49243</t>
  </si>
  <si>
    <t>99.5</t>
  </si>
  <si>
    <t>6.0</t>
  </si>
  <si>
    <t>0.345</t>
  </si>
  <si>
    <t>2.658</t>
  </si>
  <si>
    <t>21.05</t>
  </si>
  <si>
    <t>113.506 113.506 145.235 90.0 90.0 90.0</t>
  </si>
  <si>
    <t>2.160</t>
  </si>
  <si>
    <t>51499</t>
  </si>
  <si>
    <t>27.5</t>
  </si>
  <si>
    <t>0.403</t>
  </si>
  <si>
    <t>7253</t>
  </si>
  <si>
    <t>94</t>
  </si>
  <si>
    <t>2.084</t>
  </si>
  <si>
    <t>Recollect on BL12-2, XDS=2.2 A, scale in P2</t>
  </si>
  <si>
    <t>31.61</t>
  </si>
  <si>
    <t>113.614 114.053 145.493 90.000 90.031 90.000</t>
  </si>
  <si>
    <t>2.279</t>
  </si>
  <si>
    <t>0.069</t>
  </si>
  <si>
    <t>163440</t>
  </si>
  <si>
    <t>96.6</t>
  </si>
  <si>
    <t>7.4</t>
  </si>
  <si>
    <t>24663</t>
  </si>
  <si>
    <t>129</t>
  </si>
  <si>
    <t>2.210</t>
  </si>
  <si>
    <t>13827</t>
  </si>
  <si>
    <t>119</t>
  </si>
  <si>
    <t>L4</t>
  </si>
  <si>
    <t>10xHIS-VPS34 _Dilution_2_RD-I-53 DMSO</t>
  </si>
  <si>
    <t>PEG CUSTOM A7 25mg/ml</t>
  </si>
  <si>
    <t>L5</t>
  </si>
  <si>
    <t>12 A</t>
  </si>
  <si>
    <t>L6</t>
  </si>
  <si>
    <t>very icy, 8 A</t>
  </si>
  <si>
    <t>L7</t>
  </si>
  <si>
    <t>1TEL-UBA-TriUbiquitin</t>
  </si>
  <si>
    <t>bulky prisms</t>
  </si>
  <si>
    <t>MG Formate H12 3mg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</si>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</sst>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000"/>
  </numFmts>
  <fonts count="5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theme="1"/>
      <name val="Arial"/>
    </font>
    <font>
      <sz val="10"/>
      <color theme="1"/>
      <name val="Calibri"/>
    </font>
    <font>
      <sz val="10"/>
      <color theme="1"/>
      <name val="Arial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B2B2B2"/>
        <bgColor rgb="FFB2B2B2"/>
      </patternFill>
    </fill>
    <fill>
      <patternFill patternType="solid">
        <fgColor rgb="FFFFE599"/>
        <bgColor rgb="FFFFE599"/>
      </patternFill>
    </fill>
    <fill>
      <patternFill patternType="solid">
        <fgColor theme="7"/>
        <bgColor theme="7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49" fontId="1" fillId="0" borderId="0" xfId="0" applyNumberFormat="1" applyFont="1" applyAlignment="1">
      <alignment horizontal="center"/>
    </xf>
    <xf numFmtId="49" fontId="1" fillId="5" borderId="0" xfId="0" applyNumberFormat="1" applyFont="1" applyFill="1" applyAlignment="1">
      <alignment horizontal="center"/>
    </xf>
    <xf numFmtId="0" fontId="3" fillId="0" borderId="0" xfId="0" applyFont="1" applyAlignment="1">
      <alignment horizontal="center" wrapText="1"/>
    </xf>
    <xf numFmtId="49" fontId="1" fillId="7" borderId="0" xfId="0" applyNumberFormat="1" applyFont="1" applyFill="1" applyAlignment="1">
      <alignment horizontal="left"/>
    </xf>
    <xf numFmtId="49" fontId="1" fillId="7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49" fontId="1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1" fillId="8" borderId="0" xfId="0" applyFont="1" applyFill="1" applyAlignment="1">
      <alignment horizontal="center" wrapText="1"/>
    </xf>
    <xf numFmtId="49" fontId="1" fillId="9" borderId="0" xfId="0" applyNumberFormat="1" applyFont="1" applyFill="1" applyAlignment="1">
      <alignment horizontal="center" wrapText="1"/>
    </xf>
    <xf numFmtId="49" fontId="1" fillId="9" borderId="0" xfId="0" applyNumberFormat="1" applyFont="1" applyFill="1" applyAlignment="1">
      <alignment horizontal="center"/>
    </xf>
    <xf numFmtId="49" fontId="1" fillId="8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1" fillId="8" borderId="0" xfId="0" applyNumberFormat="1" applyFont="1" applyFill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1" fillId="10" borderId="0" xfId="0" applyFont="1" applyFill="1" applyAlignment="1">
      <alignment horizontal="center" wrapText="1"/>
    </xf>
    <xf numFmtId="49" fontId="1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 wrapText="1"/>
    </xf>
    <xf numFmtId="49" fontId="1" fillId="10" borderId="0" xfId="0" applyNumberFormat="1" applyFont="1" applyFill="1" applyAlignment="1">
      <alignment horizontal="center" wrapText="1"/>
    </xf>
    <xf numFmtId="0" fontId="4" fillId="10" borderId="0" xfId="0" applyFont="1" applyFill="1" applyAlignment="1">
      <alignment horizontal="center"/>
    </xf>
    <xf numFmtId="49" fontId="1" fillId="10" borderId="0" xfId="0" applyNumberFormat="1" applyFont="1" applyFill="1" applyAlignment="1">
      <alignment horizontal="left"/>
    </xf>
    <xf numFmtId="165" fontId="1" fillId="0" borderId="0" xfId="0" applyNumberFormat="1" applyFont="1" applyAlignment="1">
      <alignment horizontal="center"/>
    </xf>
    <xf numFmtId="0" fontId="3" fillId="8" borderId="0" xfId="0" applyFont="1" applyFill="1" applyAlignment="1">
      <alignment horizontal="center" wrapText="1"/>
    </xf>
    <xf numFmtId="0" fontId="4" fillId="8" borderId="0" xfId="0" applyFont="1" applyFill="1" applyAlignment="1">
      <alignment horizontal="center"/>
    </xf>
    <xf numFmtId="165" fontId="1" fillId="9" borderId="0" xfId="0" applyNumberFormat="1" applyFont="1" applyFill="1" applyAlignment="1">
      <alignment horizontal="center"/>
    </xf>
    <xf numFmtId="165" fontId="1" fillId="8" borderId="0" xfId="0" applyNumberFormat="1" applyFont="1" applyFill="1" applyAlignment="1">
      <alignment horizontal="center"/>
    </xf>
    <xf numFmtId="49" fontId="1" fillId="3" borderId="2" xfId="0" applyNumberFormat="1" applyFont="1" applyFill="1" applyBorder="1" applyAlignment="1">
      <alignment horizontal="center" wrapText="1"/>
    </xf>
    <xf numFmtId="49" fontId="1" fillId="3" borderId="3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49" fontId="1" fillId="11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49" fontId="1" fillId="12" borderId="0" xfId="0" applyNumberFormat="1" applyFont="1" applyFill="1" applyAlignment="1">
      <alignment horizontal="center"/>
    </xf>
    <xf numFmtId="0" fontId="3" fillId="12" borderId="0" xfId="0" applyFont="1" applyFill="1" applyAlignment="1">
      <alignment horizontal="center" wrapText="1"/>
    </xf>
    <xf numFmtId="0" fontId="4" fillId="12" borderId="0" xfId="0" applyFont="1" applyFill="1" applyAlignment="1">
      <alignment horizontal="center"/>
    </xf>
    <xf numFmtId="1" fontId="1" fillId="12" borderId="0" xfId="0" applyNumberFormat="1" applyFont="1" applyFill="1" applyAlignment="1">
      <alignment horizontal="center"/>
    </xf>
    <xf numFmtId="0" fontId="0" fillId="12" borderId="0" xfId="0" applyFill="1"/>
    <xf numFmtId="49" fontId="1" fillId="13" borderId="0" xfId="0" applyNumberFormat="1" applyFont="1" applyFill="1" applyAlignment="1">
      <alignment horizontal="center"/>
    </xf>
    <xf numFmtId="0" fontId="3" fillId="13" borderId="0" xfId="0" applyFont="1" applyFill="1" applyAlignment="1">
      <alignment horizontal="center" wrapText="1"/>
    </xf>
    <xf numFmtId="165" fontId="1" fillId="13" borderId="0" xfId="0" applyNumberFormat="1" applyFont="1" applyFill="1" applyAlignment="1">
      <alignment horizontal="center"/>
    </xf>
    <xf numFmtId="1" fontId="1" fillId="13" borderId="0" xfId="0" applyNumberFormat="1" applyFont="1" applyFill="1" applyAlignment="1">
      <alignment horizontal="center"/>
    </xf>
    <xf numFmtId="0" fontId="0" fillId="13" borderId="0" xfId="0" applyFill="1"/>
    <xf numFmtId="49" fontId="1" fillId="14" borderId="0" xfId="0" applyNumberFormat="1" applyFont="1" applyFill="1" applyAlignment="1">
      <alignment horizontal="center"/>
    </xf>
    <xf numFmtId="0" fontId="1" fillId="14" borderId="0" xfId="0" applyFont="1" applyFill="1" applyAlignment="1">
      <alignment horizontal="center" wrapText="1"/>
    </xf>
    <xf numFmtId="0" fontId="2" fillId="14" borderId="0" xfId="0" applyFont="1" applyFill="1" applyAlignment="1">
      <alignment horizontal="center" wrapText="1"/>
    </xf>
    <xf numFmtId="0" fontId="0" fillId="14" borderId="0" xfId="0" applyFill="1"/>
    <xf numFmtId="49" fontId="1" fillId="13" borderId="2" xfId="0" applyNumberFormat="1" applyFont="1" applyFill="1" applyBorder="1" applyAlignment="1">
      <alignment horizontal="center" wrapText="1"/>
    </xf>
    <xf numFmtId="0" fontId="4" fillId="13" borderId="0" xfId="0" applyFont="1" applyFill="1"/>
    <xf numFmtId="0" fontId="4" fillId="1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31"/>
  <sheetViews>
    <sheetView tabSelected="1" workbookViewId="0">
      <pane xSplit="5" ySplit="1" topLeftCell="S2" activePane="bottomRight" state="frozen"/>
      <selection pane="bottomRight" activeCell="AI1" sqref="AI1"/>
      <selection pane="bottomLeft"/>
      <selection pane="topRight"/>
    </sheetView>
  </sheetViews>
  <sheetFormatPr defaultColWidth="12.5703125" defaultRowHeight="12.75"/>
  <cols>
    <col min="1" max="1" width="10.7109375" customWidth="1"/>
    <col min="2" max="2" width="4.42578125" customWidth="1"/>
    <col min="3" max="3" width="8.42578125" customWidth="1"/>
    <col min="4" max="4" width="34.7109375" customWidth="1"/>
    <col min="5" max="5" width="13.5703125" customWidth="1"/>
    <col min="6" max="6" width="17.140625" customWidth="1"/>
    <col min="7" max="7" width="12.42578125" customWidth="1"/>
    <col min="8" max="8" width="22" customWidth="1"/>
    <col min="9" max="9" width="6.140625" customWidth="1"/>
    <col min="10" max="10" width="11.140625" customWidth="1"/>
    <col min="11" max="11" width="14.140625" customWidth="1"/>
    <col min="12" max="12" width="17.42578125" customWidth="1"/>
    <col min="13" max="13" width="12.42578125" customWidth="1"/>
    <col min="14" max="16" width="8.85546875" customWidth="1"/>
    <col min="17" max="17" width="9.85546875" customWidth="1"/>
    <col min="18" max="18" width="6.7109375" customWidth="1"/>
    <col min="19" max="19" width="41.85546875" customWidth="1"/>
    <col min="20" max="20" width="10.42578125" style="51" customWidth="1"/>
    <col min="21" max="23" width="8.85546875" customWidth="1"/>
    <col min="24" max="24" width="9.5703125" customWidth="1"/>
    <col min="25" max="35" width="8.85546875" customWidth="1"/>
  </cols>
  <sheetData>
    <row r="1" spans="1:35" s="39" customFormat="1" ht="60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3" t="s">
        <v>8</v>
      </c>
      <c r="J1" s="33" t="s">
        <v>9</v>
      </c>
      <c r="K1" s="38" t="s">
        <v>10</v>
      </c>
      <c r="L1" s="34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56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  <c r="AF1" s="33" t="s">
        <v>31</v>
      </c>
      <c r="AG1" s="33" t="s">
        <v>32</v>
      </c>
      <c r="AH1" s="33" t="s">
        <v>33</v>
      </c>
      <c r="AI1" s="33" t="s">
        <v>34</v>
      </c>
    </row>
    <row r="2" spans="1:35">
      <c r="A2" s="1" t="s">
        <v>35</v>
      </c>
      <c r="B2" s="5" t="s">
        <v>36</v>
      </c>
      <c r="C2" s="5" t="s">
        <v>36</v>
      </c>
      <c r="D2" s="5" t="s">
        <v>37</v>
      </c>
      <c r="E2" s="5" t="s">
        <v>36</v>
      </c>
      <c r="F2" s="5" t="s">
        <v>38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7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ht="13.5">
      <c r="A3" s="5" t="s">
        <v>35</v>
      </c>
      <c r="B3" s="5" t="s">
        <v>39</v>
      </c>
      <c r="C3" s="5" t="s">
        <v>39</v>
      </c>
      <c r="D3" s="2" t="s">
        <v>40</v>
      </c>
      <c r="E3" s="5" t="s">
        <v>39</v>
      </c>
      <c r="F3" s="2" t="s">
        <v>41</v>
      </c>
      <c r="G3" s="5"/>
      <c r="H3" s="2" t="s">
        <v>42</v>
      </c>
      <c r="I3" s="3">
        <v>2.1</v>
      </c>
      <c r="J3" s="35">
        <v>322.10000000000002</v>
      </c>
      <c r="K3" s="2" t="s">
        <v>43</v>
      </c>
      <c r="L3" s="4" t="s">
        <v>44</v>
      </c>
      <c r="M3" s="5"/>
      <c r="N3" s="5"/>
      <c r="O3" s="5"/>
      <c r="P3" s="5"/>
      <c r="Q3" s="5"/>
      <c r="R3" s="5"/>
      <c r="S3" s="5"/>
      <c r="T3" s="47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5" t="s">
        <v>35</v>
      </c>
      <c r="B4" s="5" t="s">
        <v>45</v>
      </c>
      <c r="C4" s="5" t="s">
        <v>45</v>
      </c>
      <c r="D4" s="2" t="s">
        <v>46</v>
      </c>
      <c r="E4" s="5" t="s">
        <v>45</v>
      </c>
      <c r="F4" s="7" t="s">
        <v>47</v>
      </c>
      <c r="G4" s="5"/>
      <c r="H4" s="2" t="s">
        <v>48</v>
      </c>
      <c r="I4" s="5" t="s">
        <v>49</v>
      </c>
      <c r="J4" s="5" t="s">
        <v>49</v>
      </c>
      <c r="K4" s="7" t="s">
        <v>50</v>
      </c>
      <c r="L4" s="5" t="s">
        <v>51</v>
      </c>
      <c r="M4" s="5"/>
      <c r="N4" s="5"/>
      <c r="O4" s="5"/>
      <c r="P4" s="5"/>
      <c r="Q4" s="5"/>
      <c r="R4" s="5"/>
      <c r="S4" s="5"/>
      <c r="T4" s="47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5" t="s">
        <v>35</v>
      </c>
      <c r="B5" s="5" t="s">
        <v>52</v>
      </c>
      <c r="C5" s="5" t="s">
        <v>52</v>
      </c>
      <c r="D5" s="2" t="s">
        <v>46</v>
      </c>
      <c r="E5" s="5" t="s">
        <v>52</v>
      </c>
      <c r="F5" s="7" t="s">
        <v>47</v>
      </c>
      <c r="G5" s="5"/>
      <c r="H5" s="2" t="s">
        <v>48</v>
      </c>
      <c r="I5" s="5" t="s">
        <v>49</v>
      </c>
      <c r="J5" s="5" t="s">
        <v>49</v>
      </c>
      <c r="K5" s="7" t="s">
        <v>50</v>
      </c>
      <c r="L5" s="5" t="s">
        <v>51</v>
      </c>
      <c r="M5" s="5"/>
      <c r="N5" s="5"/>
      <c r="O5" s="5"/>
      <c r="P5" s="5"/>
      <c r="Q5" s="5"/>
      <c r="R5" s="5"/>
      <c r="S5" s="5"/>
      <c r="T5" s="47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5" t="s">
        <v>35</v>
      </c>
      <c r="B6" s="5" t="s">
        <v>53</v>
      </c>
      <c r="C6" s="5" t="s">
        <v>53</v>
      </c>
      <c r="D6" s="2" t="s">
        <v>46</v>
      </c>
      <c r="E6" s="5" t="s">
        <v>53</v>
      </c>
      <c r="F6" s="7" t="s">
        <v>47</v>
      </c>
      <c r="G6" s="5"/>
      <c r="H6" s="2" t="s">
        <v>48</v>
      </c>
      <c r="I6" s="5" t="s">
        <v>49</v>
      </c>
      <c r="J6" s="5" t="s">
        <v>49</v>
      </c>
      <c r="K6" s="7" t="s">
        <v>50</v>
      </c>
      <c r="L6" s="5" t="s">
        <v>51</v>
      </c>
      <c r="M6" s="5"/>
      <c r="N6" s="5"/>
      <c r="O6" s="5"/>
      <c r="P6" s="5"/>
      <c r="Q6" s="5"/>
      <c r="R6" s="5"/>
      <c r="S6" s="5"/>
      <c r="T6" s="47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>
      <c r="A7" s="5" t="s">
        <v>35</v>
      </c>
      <c r="B7" s="5" t="s">
        <v>54</v>
      </c>
      <c r="C7" s="5" t="s">
        <v>54</v>
      </c>
      <c r="D7" s="2" t="s">
        <v>46</v>
      </c>
      <c r="E7" s="5" t="s">
        <v>54</v>
      </c>
      <c r="F7" s="7" t="s">
        <v>47</v>
      </c>
      <c r="G7" s="5"/>
      <c r="H7" s="2" t="s">
        <v>48</v>
      </c>
      <c r="I7" s="5" t="s">
        <v>49</v>
      </c>
      <c r="J7" s="5" t="s">
        <v>49</v>
      </c>
      <c r="K7" s="7" t="s">
        <v>50</v>
      </c>
      <c r="L7" s="5" t="s">
        <v>55</v>
      </c>
      <c r="M7" s="5"/>
      <c r="N7" s="5"/>
      <c r="O7" s="5"/>
      <c r="P7" s="5"/>
      <c r="Q7" s="5"/>
      <c r="R7" s="5"/>
      <c r="S7" s="5"/>
      <c r="T7" s="47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>
      <c r="A8" s="5" t="s">
        <v>35</v>
      </c>
      <c r="B8" s="5" t="s">
        <v>56</v>
      </c>
      <c r="C8" s="5" t="s">
        <v>56</v>
      </c>
      <c r="D8" s="2" t="s">
        <v>46</v>
      </c>
      <c r="E8" s="5" t="s">
        <v>56</v>
      </c>
      <c r="F8" s="7" t="s">
        <v>47</v>
      </c>
      <c r="G8" s="5"/>
      <c r="H8" s="2" t="s">
        <v>48</v>
      </c>
      <c r="I8" s="5" t="s">
        <v>49</v>
      </c>
      <c r="J8" s="5" t="s">
        <v>49</v>
      </c>
      <c r="K8" s="7" t="s">
        <v>50</v>
      </c>
      <c r="L8" s="5" t="s">
        <v>57</v>
      </c>
      <c r="M8" s="5"/>
      <c r="N8" s="5"/>
      <c r="O8" s="5"/>
      <c r="P8" s="5"/>
      <c r="Q8" s="5"/>
      <c r="R8" s="5"/>
      <c r="S8" s="5"/>
      <c r="T8" s="47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>
      <c r="A9" s="5" t="s">
        <v>35</v>
      </c>
      <c r="B9" s="5" t="s">
        <v>58</v>
      </c>
      <c r="C9" s="5" t="s">
        <v>58</v>
      </c>
      <c r="D9" s="2" t="s">
        <v>40</v>
      </c>
      <c r="E9" s="5" t="s">
        <v>58</v>
      </c>
      <c r="F9" s="7" t="s">
        <v>59</v>
      </c>
      <c r="G9" s="5"/>
      <c r="H9" s="2" t="s">
        <v>60</v>
      </c>
      <c r="I9" s="35">
        <v>37.299999999999997</v>
      </c>
      <c r="J9" s="35">
        <v>124.2</v>
      </c>
      <c r="K9" s="7" t="s">
        <v>50</v>
      </c>
      <c r="L9" s="6" t="s">
        <v>44</v>
      </c>
      <c r="M9" s="5"/>
      <c r="N9" s="5"/>
      <c r="O9" s="5"/>
      <c r="P9" s="5"/>
      <c r="Q9" s="5"/>
      <c r="R9" s="5"/>
      <c r="S9" s="5"/>
      <c r="T9" s="47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1" t="s">
        <v>35</v>
      </c>
      <c r="B10" s="5" t="s">
        <v>61</v>
      </c>
      <c r="C10" s="5" t="s">
        <v>61</v>
      </c>
      <c r="D10" s="2" t="s">
        <v>46</v>
      </c>
      <c r="E10" s="5" t="s">
        <v>61</v>
      </c>
      <c r="F10" s="7" t="s">
        <v>47</v>
      </c>
      <c r="G10" s="5"/>
      <c r="H10" s="2" t="s">
        <v>62</v>
      </c>
      <c r="I10" s="35" t="s">
        <v>49</v>
      </c>
      <c r="J10" s="35" t="s">
        <v>49</v>
      </c>
      <c r="K10" s="7" t="s">
        <v>50</v>
      </c>
      <c r="L10" s="5" t="s">
        <v>51</v>
      </c>
      <c r="M10" s="5"/>
      <c r="N10" s="5"/>
      <c r="O10" s="5"/>
      <c r="P10" s="5"/>
      <c r="Q10" s="5"/>
      <c r="R10" s="5"/>
      <c r="S10" s="5"/>
      <c r="T10" s="47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5" t="s">
        <v>35</v>
      </c>
      <c r="B11" s="5" t="s">
        <v>63</v>
      </c>
      <c r="C11" s="5" t="s">
        <v>63</v>
      </c>
      <c r="D11" s="2" t="s">
        <v>46</v>
      </c>
      <c r="E11" s="5" t="s">
        <v>63</v>
      </c>
      <c r="F11" s="7" t="s">
        <v>47</v>
      </c>
      <c r="G11" s="5"/>
      <c r="H11" s="2" t="s">
        <v>62</v>
      </c>
      <c r="I11" s="35" t="s">
        <v>49</v>
      </c>
      <c r="J11" s="35" t="s">
        <v>49</v>
      </c>
      <c r="K11" s="7" t="s">
        <v>50</v>
      </c>
      <c r="L11" s="5" t="s">
        <v>51</v>
      </c>
      <c r="M11" s="5"/>
      <c r="N11" s="5"/>
      <c r="O11" s="5"/>
      <c r="P11" s="5"/>
      <c r="Q11" s="5"/>
      <c r="R11" s="5"/>
      <c r="S11" s="5"/>
      <c r="T11" s="47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5" t="s">
        <v>35</v>
      </c>
      <c r="B12" s="5" t="s">
        <v>64</v>
      </c>
      <c r="C12" s="5" t="s">
        <v>64</v>
      </c>
      <c r="D12" s="2" t="s">
        <v>40</v>
      </c>
      <c r="E12" s="5" t="s">
        <v>64</v>
      </c>
      <c r="F12" s="7" t="s">
        <v>65</v>
      </c>
      <c r="G12" s="5"/>
      <c r="H12" s="2" t="s">
        <v>60</v>
      </c>
      <c r="I12" s="35">
        <v>37.299999999999997</v>
      </c>
      <c r="J12" s="35">
        <v>124.2</v>
      </c>
      <c r="K12" s="7" t="s">
        <v>50</v>
      </c>
      <c r="L12" s="5" t="s">
        <v>51</v>
      </c>
      <c r="M12" s="5"/>
      <c r="N12" s="5"/>
      <c r="O12" s="5"/>
      <c r="P12" s="5"/>
      <c r="Q12" s="5"/>
      <c r="R12" s="5"/>
      <c r="S12" s="5"/>
      <c r="T12" s="47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 ht="13.5">
      <c r="A13" s="5" t="s">
        <v>35</v>
      </c>
      <c r="B13" s="5" t="s">
        <v>66</v>
      </c>
      <c r="C13" s="5" t="s">
        <v>66</v>
      </c>
      <c r="D13" s="2" t="s">
        <v>67</v>
      </c>
      <c r="E13" s="5" t="s">
        <v>66</v>
      </c>
      <c r="F13" s="7" t="s">
        <v>68</v>
      </c>
      <c r="G13" s="5"/>
      <c r="H13" s="2" t="s">
        <v>69</v>
      </c>
      <c r="I13" s="3">
        <v>7.1</v>
      </c>
      <c r="J13" s="35">
        <v>75.400000000000006</v>
      </c>
      <c r="K13" s="7" t="s">
        <v>50</v>
      </c>
      <c r="L13" s="7" t="s">
        <v>70</v>
      </c>
      <c r="M13" s="5"/>
      <c r="N13" s="5"/>
      <c r="O13" s="5"/>
      <c r="P13" s="5"/>
      <c r="Q13" s="5"/>
      <c r="R13" s="5"/>
      <c r="S13" s="5"/>
      <c r="T13" s="47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5" t="s">
        <v>35</v>
      </c>
      <c r="B14" s="5" t="s">
        <v>71</v>
      </c>
      <c r="C14" s="5" t="s">
        <v>71</v>
      </c>
      <c r="D14" s="2" t="s">
        <v>67</v>
      </c>
      <c r="E14" s="5" t="s">
        <v>71</v>
      </c>
      <c r="F14" s="7" t="s">
        <v>68</v>
      </c>
      <c r="G14" s="5"/>
      <c r="H14" s="2" t="s">
        <v>69</v>
      </c>
      <c r="I14" s="3">
        <v>7.1</v>
      </c>
      <c r="J14" s="35">
        <v>75.400000000000006</v>
      </c>
      <c r="K14" s="7" t="s">
        <v>50</v>
      </c>
      <c r="L14" s="5" t="s">
        <v>51</v>
      </c>
      <c r="M14" s="5"/>
      <c r="N14" s="5"/>
      <c r="O14" s="5"/>
      <c r="P14" s="5"/>
      <c r="Q14" s="5"/>
      <c r="R14" s="5"/>
      <c r="S14" s="5"/>
      <c r="T14" s="47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ht="13.5">
      <c r="A15" s="5" t="s">
        <v>35</v>
      </c>
      <c r="B15" s="5" t="s">
        <v>72</v>
      </c>
      <c r="C15" s="5" t="s">
        <v>72</v>
      </c>
      <c r="D15" s="2" t="s">
        <v>67</v>
      </c>
      <c r="E15" s="5" t="s">
        <v>72</v>
      </c>
      <c r="F15" s="7" t="s">
        <v>68</v>
      </c>
      <c r="G15" s="5"/>
      <c r="H15" s="2" t="s">
        <v>69</v>
      </c>
      <c r="I15" s="3">
        <v>7.1</v>
      </c>
      <c r="J15" s="35">
        <v>75.400000000000006</v>
      </c>
      <c r="K15" s="7" t="s">
        <v>50</v>
      </c>
      <c r="L15" s="7" t="s">
        <v>70</v>
      </c>
      <c r="M15" s="5"/>
      <c r="N15" s="5"/>
      <c r="O15" s="5"/>
      <c r="P15" s="5"/>
      <c r="Q15" s="5"/>
      <c r="R15" s="5"/>
      <c r="S15" s="5"/>
      <c r="T15" s="47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5" t="s">
        <v>35</v>
      </c>
      <c r="B16" s="5" t="s">
        <v>73</v>
      </c>
      <c r="C16" s="5" t="s">
        <v>73</v>
      </c>
      <c r="D16" s="2" t="s">
        <v>67</v>
      </c>
      <c r="E16" s="5" t="s">
        <v>73</v>
      </c>
      <c r="F16" s="7" t="s">
        <v>74</v>
      </c>
      <c r="G16" s="5"/>
      <c r="H16" s="2" t="s">
        <v>75</v>
      </c>
      <c r="I16" s="3">
        <v>4.08</v>
      </c>
      <c r="J16" s="35">
        <v>81.2</v>
      </c>
      <c r="K16" s="7" t="s">
        <v>50</v>
      </c>
      <c r="L16" s="5" t="s">
        <v>51</v>
      </c>
      <c r="M16" s="5"/>
      <c r="N16" s="18"/>
      <c r="O16" s="5"/>
      <c r="P16" s="5"/>
      <c r="Q16" s="5"/>
      <c r="R16" s="5"/>
      <c r="S16" s="5"/>
      <c r="T16" s="47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13.5">
      <c r="A17" s="5" t="s">
        <v>35</v>
      </c>
      <c r="B17" s="5" t="s">
        <v>76</v>
      </c>
      <c r="C17" s="5" t="s">
        <v>76</v>
      </c>
      <c r="D17" s="2" t="s">
        <v>77</v>
      </c>
      <c r="E17" s="5" t="s">
        <v>76</v>
      </c>
      <c r="F17" s="7" t="s">
        <v>78</v>
      </c>
      <c r="G17" s="5"/>
      <c r="H17" s="2" t="s">
        <v>79</v>
      </c>
      <c r="I17" s="35" t="s">
        <v>49</v>
      </c>
      <c r="J17" s="35" t="s">
        <v>49</v>
      </c>
      <c r="K17" s="7" t="s">
        <v>50</v>
      </c>
      <c r="L17" s="7" t="s">
        <v>80</v>
      </c>
      <c r="M17" s="5"/>
      <c r="N17" s="18"/>
      <c r="O17" s="5"/>
      <c r="P17" s="5"/>
      <c r="Q17" s="5"/>
      <c r="R17" s="5"/>
      <c r="S17" s="5"/>
      <c r="T17" s="47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ht="27">
      <c r="A18" s="5"/>
      <c r="B18" s="5"/>
      <c r="C18" s="5"/>
      <c r="D18" s="2"/>
      <c r="E18" s="5"/>
      <c r="F18" s="7"/>
      <c r="G18" s="5"/>
      <c r="H18" s="2"/>
      <c r="I18" s="35"/>
      <c r="J18" s="35"/>
      <c r="K18" s="7"/>
      <c r="L18" s="11" t="s">
        <v>81</v>
      </c>
      <c r="M18" s="8" t="s">
        <v>82</v>
      </c>
      <c r="N18" s="18"/>
      <c r="P18" s="9" t="s">
        <v>83</v>
      </c>
      <c r="Q18" s="5"/>
      <c r="R18" s="5" t="s">
        <v>84</v>
      </c>
      <c r="S18" s="5" t="s">
        <v>85</v>
      </c>
      <c r="T18" s="57" t="s">
        <v>86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 ht="13.5">
      <c r="A19" s="1" t="s">
        <v>35</v>
      </c>
      <c r="B19" s="5" t="s">
        <v>87</v>
      </c>
      <c r="C19" s="5" t="s">
        <v>87</v>
      </c>
      <c r="D19" s="2" t="s">
        <v>77</v>
      </c>
      <c r="E19" s="5" t="s">
        <v>87</v>
      </c>
      <c r="F19" s="7" t="s">
        <v>78</v>
      </c>
      <c r="G19" s="5"/>
      <c r="H19" s="2" t="s">
        <v>79</v>
      </c>
      <c r="I19" s="35" t="s">
        <v>49</v>
      </c>
      <c r="J19" s="35" t="s">
        <v>49</v>
      </c>
      <c r="K19" s="7" t="s">
        <v>50</v>
      </c>
      <c r="L19" s="7" t="s">
        <v>51</v>
      </c>
      <c r="M19" s="5"/>
      <c r="N19" s="18"/>
      <c r="O19" s="5"/>
      <c r="P19" s="5"/>
      <c r="Q19" s="5"/>
      <c r="R19" s="5"/>
      <c r="S19" s="5"/>
      <c r="T19" s="47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ht="13.5">
      <c r="A20" s="5" t="s">
        <v>35</v>
      </c>
      <c r="B20" s="5" t="s">
        <v>88</v>
      </c>
      <c r="C20" s="5" t="s">
        <v>88</v>
      </c>
      <c r="D20" s="2" t="s">
        <v>77</v>
      </c>
      <c r="E20" s="5" t="s">
        <v>88</v>
      </c>
      <c r="F20" s="7" t="s">
        <v>78</v>
      </c>
      <c r="G20" s="5"/>
      <c r="H20" s="2" t="s">
        <v>79</v>
      </c>
      <c r="I20" s="35" t="s">
        <v>49</v>
      </c>
      <c r="J20" s="35" t="s">
        <v>49</v>
      </c>
      <c r="K20" s="7" t="s">
        <v>50</v>
      </c>
      <c r="L20" s="7" t="s">
        <v>51</v>
      </c>
      <c r="M20" s="5"/>
      <c r="N20" s="18"/>
      <c r="O20" s="5"/>
      <c r="P20" s="5"/>
      <c r="Q20" s="5"/>
      <c r="R20" s="5"/>
      <c r="S20" s="5"/>
      <c r="T20" s="47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 ht="13.5">
      <c r="A21" s="5" t="s">
        <v>35</v>
      </c>
      <c r="B21" s="5" t="s">
        <v>89</v>
      </c>
      <c r="C21" s="5" t="s">
        <v>89</v>
      </c>
      <c r="D21" s="2" t="s">
        <v>77</v>
      </c>
      <c r="E21" s="5" t="s">
        <v>89</v>
      </c>
      <c r="F21" s="7" t="s">
        <v>78</v>
      </c>
      <c r="G21" s="5"/>
      <c r="H21" s="2" t="s">
        <v>79</v>
      </c>
      <c r="I21" s="35" t="s">
        <v>49</v>
      </c>
      <c r="J21" s="35" t="s">
        <v>49</v>
      </c>
      <c r="K21" s="7" t="s">
        <v>50</v>
      </c>
      <c r="L21" s="7" t="s">
        <v>90</v>
      </c>
      <c r="M21" s="5"/>
      <c r="N21" s="18"/>
      <c r="O21" s="5"/>
      <c r="P21" s="5"/>
      <c r="Q21" s="5"/>
      <c r="R21" s="5"/>
      <c r="S21" s="5"/>
      <c r="T21" s="47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ht="27">
      <c r="A22" s="52"/>
      <c r="B22" s="52"/>
      <c r="C22" s="52"/>
      <c r="D22" s="53" t="s">
        <v>91</v>
      </c>
      <c r="E22" s="12" t="s">
        <v>89</v>
      </c>
      <c r="F22" s="11"/>
      <c r="G22" s="12"/>
      <c r="H22" s="10"/>
      <c r="I22" s="36"/>
      <c r="J22" s="36"/>
      <c r="K22" s="11"/>
      <c r="L22" s="11" t="s">
        <v>92</v>
      </c>
      <c r="M22" s="12" t="s">
        <v>93</v>
      </c>
      <c r="N22" s="13">
        <v>0.57799999999999996</v>
      </c>
      <c r="O22" s="12" t="s">
        <v>94</v>
      </c>
      <c r="P22" s="12" t="s">
        <v>95</v>
      </c>
      <c r="Q22" s="12" t="s">
        <v>96</v>
      </c>
      <c r="R22" s="12" t="s">
        <v>97</v>
      </c>
      <c r="S22" s="12" t="s">
        <v>98</v>
      </c>
      <c r="T22" s="47" t="s">
        <v>99</v>
      </c>
      <c r="U22" s="12" t="s">
        <v>100</v>
      </c>
      <c r="V22" s="12" t="s">
        <v>101</v>
      </c>
      <c r="W22" s="12" t="s">
        <v>102</v>
      </c>
      <c r="X22" s="12" t="s">
        <v>103</v>
      </c>
      <c r="Y22" s="12" t="s">
        <v>104</v>
      </c>
      <c r="Z22" s="12"/>
      <c r="AA22" s="12"/>
      <c r="AB22" s="12"/>
      <c r="AC22" s="12"/>
      <c r="AD22" s="12" t="s">
        <v>105</v>
      </c>
      <c r="AE22" s="12"/>
      <c r="AF22" s="12"/>
      <c r="AG22" s="12" t="s">
        <v>106</v>
      </c>
      <c r="AH22" s="12" t="s">
        <v>106</v>
      </c>
      <c r="AI22" s="12" t="s">
        <v>107</v>
      </c>
    </row>
    <row r="23" spans="1:35" ht="23.25">
      <c r="A23" s="52"/>
      <c r="B23" s="52"/>
      <c r="C23" s="52"/>
      <c r="D23" s="53"/>
      <c r="E23" s="12"/>
      <c r="F23" s="11"/>
      <c r="G23" s="12"/>
      <c r="H23" s="10" t="s">
        <v>108</v>
      </c>
      <c r="I23" s="36"/>
      <c r="J23" s="36"/>
      <c r="K23" s="11"/>
      <c r="L23" s="11"/>
      <c r="M23" s="12"/>
      <c r="N23" s="13"/>
      <c r="O23" s="12"/>
      <c r="P23" s="12"/>
      <c r="Q23" s="12"/>
      <c r="R23" s="12"/>
      <c r="S23" s="12"/>
      <c r="T23" s="47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ht="13.5">
      <c r="A24" s="5" t="s">
        <v>35</v>
      </c>
      <c r="B24" s="5" t="s">
        <v>109</v>
      </c>
      <c r="C24" s="5" t="s">
        <v>109</v>
      </c>
      <c r="D24" s="2" t="s">
        <v>77</v>
      </c>
      <c r="E24" s="5" t="s">
        <v>109</v>
      </c>
      <c r="F24" s="7" t="s">
        <v>78</v>
      </c>
      <c r="G24" s="5"/>
      <c r="H24" s="2" t="s">
        <v>79</v>
      </c>
      <c r="I24" s="35" t="s">
        <v>49</v>
      </c>
      <c r="J24" s="35" t="s">
        <v>49</v>
      </c>
      <c r="K24" s="7" t="s">
        <v>50</v>
      </c>
      <c r="L24" s="7" t="s">
        <v>51</v>
      </c>
      <c r="M24" s="5"/>
      <c r="N24" s="18"/>
      <c r="O24" s="5"/>
      <c r="P24" s="5"/>
      <c r="Q24" s="5"/>
      <c r="R24" s="5"/>
      <c r="S24" s="5"/>
      <c r="T24" s="47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ht="13.5">
      <c r="A25" s="5" t="s">
        <v>35</v>
      </c>
      <c r="B25" s="5" t="s">
        <v>110</v>
      </c>
      <c r="C25" s="5" t="s">
        <v>110</v>
      </c>
      <c r="D25" s="2" t="s">
        <v>77</v>
      </c>
      <c r="E25" s="5" t="s">
        <v>110</v>
      </c>
      <c r="F25" s="7" t="s">
        <v>78</v>
      </c>
      <c r="G25" s="5"/>
      <c r="H25" s="2" t="s">
        <v>79</v>
      </c>
      <c r="I25" s="35" t="s">
        <v>49</v>
      </c>
      <c r="J25" s="35" t="s">
        <v>49</v>
      </c>
      <c r="K25" s="7" t="s">
        <v>50</v>
      </c>
      <c r="L25" s="7" t="s">
        <v>70</v>
      </c>
      <c r="M25" s="5"/>
      <c r="N25" s="18"/>
      <c r="O25" s="5"/>
      <c r="P25" s="5"/>
      <c r="Q25" s="5"/>
      <c r="R25" s="5"/>
      <c r="S25" s="5"/>
      <c r="T25" s="47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ht="13.5">
      <c r="A26" s="5" t="s">
        <v>35</v>
      </c>
      <c r="B26" s="5" t="s">
        <v>111</v>
      </c>
      <c r="C26" s="5" t="s">
        <v>111</v>
      </c>
      <c r="D26" s="2" t="s">
        <v>67</v>
      </c>
      <c r="E26" s="5" t="s">
        <v>111</v>
      </c>
      <c r="F26" s="7" t="s">
        <v>74</v>
      </c>
      <c r="G26" s="5"/>
      <c r="H26" s="2" t="s">
        <v>75</v>
      </c>
      <c r="I26" s="3">
        <v>4.08</v>
      </c>
      <c r="J26" s="35">
        <v>81.2</v>
      </c>
      <c r="K26" s="7" t="s">
        <v>50</v>
      </c>
      <c r="L26" s="7" t="s">
        <v>51</v>
      </c>
      <c r="M26" s="5"/>
      <c r="N26" s="18"/>
      <c r="O26" s="5"/>
      <c r="P26" s="5"/>
      <c r="Q26" s="5"/>
      <c r="R26" s="5"/>
      <c r="S26" s="5"/>
      <c r="T26" s="47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ht="13.5">
      <c r="A27" s="5" t="s">
        <v>35</v>
      </c>
      <c r="B27" s="5" t="s">
        <v>112</v>
      </c>
      <c r="C27" s="5" t="s">
        <v>112</v>
      </c>
      <c r="D27" s="7" t="s">
        <v>113</v>
      </c>
      <c r="E27" s="5" t="s">
        <v>112</v>
      </c>
      <c r="F27" s="7" t="s">
        <v>114</v>
      </c>
      <c r="G27" s="5"/>
      <c r="H27" s="7" t="s">
        <v>115</v>
      </c>
      <c r="I27" s="35">
        <v>30</v>
      </c>
      <c r="J27" s="35">
        <v>799.7</v>
      </c>
      <c r="K27" s="7" t="s">
        <v>50</v>
      </c>
      <c r="L27" s="7" t="s">
        <v>51</v>
      </c>
      <c r="M27" s="5"/>
      <c r="N27" s="5"/>
      <c r="O27" s="5"/>
      <c r="P27" s="5"/>
      <c r="Q27" s="5"/>
      <c r="R27" s="5"/>
      <c r="S27" s="5"/>
      <c r="T27" s="47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ht="13.5">
      <c r="A28" s="5" t="s">
        <v>35</v>
      </c>
      <c r="B28" s="5" t="s">
        <v>116</v>
      </c>
      <c r="C28" s="5" t="s">
        <v>116</v>
      </c>
      <c r="D28" s="2" t="s">
        <v>67</v>
      </c>
      <c r="E28" s="5" t="s">
        <v>116</v>
      </c>
      <c r="F28" s="7" t="s">
        <v>74</v>
      </c>
      <c r="G28" s="5"/>
      <c r="H28" s="2" t="s">
        <v>75</v>
      </c>
      <c r="I28" s="3">
        <v>4.08</v>
      </c>
      <c r="J28" s="35">
        <v>81.2</v>
      </c>
      <c r="K28" s="7" t="s">
        <v>50</v>
      </c>
      <c r="L28" s="7" t="s">
        <v>51</v>
      </c>
      <c r="M28" s="5"/>
      <c r="N28" s="5"/>
      <c r="O28" s="5"/>
      <c r="P28" s="5"/>
      <c r="Q28" s="5"/>
      <c r="R28" s="5"/>
      <c r="S28" s="5"/>
      <c r="T28" s="47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ht="13.5">
      <c r="A29" s="1" t="s">
        <v>35</v>
      </c>
      <c r="B29" s="5" t="s">
        <v>117</v>
      </c>
      <c r="C29" s="5" t="s">
        <v>117</v>
      </c>
      <c r="D29" s="2" t="s">
        <v>67</v>
      </c>
      <c r="E29" s="5" t="s">
        <v>117</v>
      </c>
      <c r="F29" s="7" t="s">
        <v>74</v>
      </c>
      <c r="G29" s="5"/>
      <c r="H29" s="2" t="s">
        <v>75</v>
      </c>
      <c r="I29" s="3">
        <v>4.08</v>
      </c>
      <c r="J29" s="35">
        <v>81.2</v>
      </c>
      <c r="K29" s="7" t="s">
        <v>50</v>
      </c>
      <c r="L29" s="7" t="s">
        <v>51</v>
      </c>
      <c r="M29" s="5"/>
      <c r="N29" s="5"/>
      <c r="O29" s="5"/>
      <c r="P29" s="5"/>
      <c r="Q29" s="5"/>
      <c r="R29" s="5"/>
      <c r="S29" s="5"/>
      <c r="T29" s="47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ht="13.5">
      <c r="A30" s="5" t="s">
        <v>35</v>
      </c>
      <c r="B30" s="5" t="s">
        <v>118</v>
      </c>
      <c r="C30" s="5" t="s">
        <v>118</v>
      </c>
      <c r="D30" s="7" t="s">
        <v>113</v>
      </c>
      <c r="E30" s="5" t="s">
        <v>118</v>
      </c>
      <c r="F30" s="7" t="s">
        <v>119</v>
      </c>
      <c r="G30" s="5"/>
      <c r="H30" s="7" t="s">
        <v>120</v>
      </c>
      <c r="I30" s="35">
        <v>20</v>
      </c>
      <c r="J30" s="35">
        <v>120</v>
      </c>
      <c r="K30" s="7" t="s">
        <v>50</v>
      </c>
      <c r="L30" s="7" t="s">
        <v>121</v>
      </c>
      <c r="M30" s="5"/>
      <c r="N30" s="5"/>
      <c r="O30" s="5"/>
      <c r="P30" s="5"/>
      <c r="Q30" s="5"/>
      <c r="R30" s="5"/>
      <c r="S30" s="5"/>
      <c r="T30" s="47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ht="13.5">
      <c r="A31" s="5" t="s">
        <v>35</v>
      </c>
      <c r="B31" s="5" t="s">
        <v>122</v>
      </c>
      <c r="C31" s="5" t="s">
        <v>122</v>
      </c>
      <c r="D31" s="2" t="s">
        <v>67</v>
      </c>
      <c r="E31" s="5" t="s">
        <v>122</v>
      </c>
      <c r="F31" s="7" t="s">
        <v>74</v>
      </c>
      <c r="G31" s="5"/>
      <c r="H31" s="2" t="s">
        <v>75</v>
      </c>
      <c r="I31" s="3">
        <v>4.08</v>
      </c>
      <c r="J31" s="35">
        <v>81.2</v>
      </c>
      <c r="K31" s="7" t="s">
        <v>50</v>
      </c>
      <c r="L31" s="7" t="s">
        <v>51</v>
      </c>
      <c r="M31" s="5"/>
      <c r="N31" s="5"/>
      <c r="O31" s="5"/>
      <c r="P31" s="5"/>
      <c r="Q31" s="5"/>
      <c r="R31" s="5"/>
      <c r="S31" s="5"/>
      <c r="T31" s="47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3.5">
      <c r="A32" s="5" t="s">
        <v>35</v>
      </c>
      <c r="B32" s="5" t="s">
        <v>123</v>
      </c>
      <c r="C32" s="5" t="s">
        <v>123</v>
      </c>
      <c r="D32" s="2" t="s">
        <v>67</v>
      </c>
      <c r="E32" s="5" t="s">
        <v>123</v>
      </c>
      <c r="F32" s="7" t="s">
        <v>74</v>
      </c>
      <c r="G32" s="5"/>
      <c r="H32" s="2" t="s">
        <v>75</v>
      </c>
      <c r="I32" s="3">
        <v>4.08</v>
      </c>
      <c r="J32" s="35">
        <v>81.2</v>
      </c>
      <c r="K32" s="7" t="s">
        <v>50</v>
      </c>
      <c r="L32" s="7" t="s">
        <v>51</v>
      </c>
      <c r="M32" s="5"/>
      <c r="N32" s="5"/>
      <c r="O32" s="5"/>
      <c r="P32" s="5"/>
      <c r="Q32" s="5"/>
      <c r="R32" s="5"/>
      <c r="S32" s="5"/>
      <c r="T32" s="47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ht="13.5">
      <c r="A33" s="5" t="s">
        <v>35</v>
      </c>
      <c r="B33" s="5" t="s">
        <v>124</v>
      </c>
      <c r="C33" s="5" t="s">
        <v>124</v>
      </c>
      <c r="D33" s="2" t="s">
        <v>40</v>
      </c>
      <c r="E33" s="5" t="s">
        <v>124</v>
      </c>
      <c r="F33" s="7" t="s">
        <v>125</v>
      </c>
      <c r="G33" s="5"/>
      <c r="H33" s="2" t="s">
        <v>126</v>
      </c>
      <c r="I33" s="3">
        <v>4.08</v>
      </c>
      <c r="J33" s="35">
        <v>81.2</v>
      </c>
      <c r="K33" s="7" t="s">
        <v>43</v>
      </c>
      <c r="L33" s="7" t="s">
        <v>51</v>
      </c>
      <c r="M33" s="5"/>
      <c r="N33" s="5"/>
      <c r="O33" s="5"/>
      <c r="P33" s="5"/>
      <c r="Q33" s="5"/>
      <c r="R33" s="5"/>
      <c r="S33" s="5" t="s">
        <v>127</v>
      </c>
      <c r="T33" s="47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ht="13.5">
      <c r="A34" s="5" t="s">
        <v>35</v>
      </c>
      <c r="B34" s="5" t="s">
        <v>128</v>
      </c>
      <c r="C34" s="5" t="s">
        <v>128</v>
      </c>
      <c r="D34" s="2" t="s">
        <v>40</v>
      </c>
      <c r="E34" s="5" t="s">
        <v>128</v>
      </c>
      <c r="F34" s="7" t="s">
        <v>125</v>
      </c>
      <c r="G34" s="5"/>
      <c r="H34" s="2" t="s">
        <v>126</v>
      </c>
      <c r="I34" s="35" t="s">
        <v>49</v>
      </c>
      <c r="J34" s="35" t="s">
        <v>49</v>
      </c>
      <c r="K34" s="2" t="s">
        <v>43</v>
      </c>
      <c r="L34" s="7" t="s">
        <v>51</v>
      </c>
      <c r="M34" s="5"/>
      <c r="N34" s="5"/>
      <c r="O34" s="5"/>
      <c r="P34" s="5"/>
      <c r="Q34" s="5"/>
      <c r="R34" s="5"/>
      <c r="S34" s="5"/>
      <c r="T34" s="47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ht="13.5">
      <c r="A35" s="5" t="s">
        <v>35</v>
      </c>
      <c r="B35" s="5" t="s">
        <v>129</v>
      </c>
      <c r="C35" s="5" t="s">
        <v>129</v>
      </c>
      <c r="D35" s="2" t="s">
        <v>40</v>
      </c>
      <c r="E35" s="5" t="s">
        <v>129</v>
      </c>
      <c r="F35" s="7" t="s">
        <v>125</v>
      </c>
      <c r="G35" s="5"/>
      <c r="H35" s="2" t="s">
        <v>126</v>
      </c>
      <c r="I35" s="35" t="s">
        <v>49</v>
      </c>
      <c r="J35" s="35" t="s">
        <v>49</v>
      </c>
      <c r="K35" s="2" t="s">
        <v>43</v>
      </c>
      <c r="L35" s="7" t="s">
        <v>51</v>
      </c>
      <c r="M35" s="5"/>
      <c r="N35" s="5"/>
      <c r="O35" s="5"/>
      <c r="P35" s="5"/>
      <c r="Q35" s="5"/>
      <c r="R35" s="5"/>
      <c r="S35" s="5"/>
      <c r="T35" s="47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ht="13.5">
      <c r="A36" s="5" t="s">
        <v>35</v>
      </c>
      <c r="B36" s="5" t="s">
        <v>130</v>
      </c>
      <c r="C36" s="5" t="s">
        <v>130</v>
      </c>
      <c r="D36" s="2" t="s">
        <v>40</v>
      </c>
      <c r="E36" s="5" t="s">
        <v>130</v>
      </c>
      <c r="F36" s="7" t="s">
        <v>125</v>
      </c>
      <c r="G36" s="5"/>
      <c r="H36" s="2" t="s">
        <v>126</v>
      </c>
      <c r="I36" s="35" t="s">
        <v>49</v>
      </c>
      <c r="J36" s="35" t="s">
        <v>49</v>
      </c>
      <c r="K36" s="2" t="s">
        <v>43</v>
      </c>
      <c r="L36" s="4" t="s">
        <v>131</v>
      </c>
      <c r="M36" s="5"/>
      <c r="N36" s="5"/>
      <c r="O36" s="5"/>
      <c r="P36" s="5"/>
      <c r="Q36" s="5"/>
      <c r="R36" s="5"/>
      <c r="S36" s="5"/>
      <c r="T36" s="47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ht="13.5">
      <c r="A37" s="1" t="s">
        <v>35</v>
      </c>
      <c r="B37" s="5" t="s">
        <v>132</v>
      </c>
      <c r="C37" s="5" t="s">
        <v>132</v>
      </c>
      <c r="D37" s="2" t="s">
        <v>40</v>
      </c>
      <c r="E37" s="5" t="s">
        <v>132</v>
      </c>
      <c r="F37" s="7" t="s">
        <v>133</v>
      </c>
      <c r="G37" s="5"/>
      <c r="H37" s="2" t="s">
        <v>134</v>
      </c>
      <c r="I37" s="35" t="s">
        <v>49</v>
      </c>
      <c r="J37" s="35" t="s">
        <v>49</v>
      </c>
      <c r="K37" s="2" t="s">
        <v>43</v>
      </c>
      <c r="L37" s="4" t="s">
        <v>135</v>
      </c>
      <c r="M37" s="5"/>
      <c r="N37" s="5"/>
      <c r="O37" s="5"/>
      <c r="P37" s="5"/>
      <c r="Q37" s="5"/>
      <c r="R37" s="5"/>
      <c r="S37" s="5"/>
      <c r="T37" s="47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ht="13.5">
      <c r="A38" s="5" t="s">
        <v>35</v>
      </c>
      <c r="B38" s="5" t="s">
        <v>136</v>
      </c>
      <c r="C38" s="5" t="s">
        <v>136</v>
      </c>
      <c r="D38" s="2" t="s">
        <v>40</v>
      </c>
      <c r="E38" s="2" t="s">
        <v>40</v>
      </c>
      <c r="F38" s="7" t="s">
        <v>125</v>
      </c>
      <c r="G38" s="5"/>
      <c r="H38" s="2" t="s">
        <v>137</v>
      </c>
      <c r="I38" s="35" t="s">
        <v>49</v>
      </c>
      <c r="J38" s="35" t="s">
        <v>49</v>
      </c>
      <c r="K38" s="2" t="s">
        <v>43</v>
      </c>
      <c r="L38" s="7" t="s">
        <v>138</v>
      </c>
      <c r="M38" s="5"/>
      <c r="N38" s="5"/>
      <c r="O38" s="5"/>
      <c r="P38" s="5"/>
      <c r="Q38" s="5"/>
      <c r="R38" s="5"/>
      <c r="S38" s="5"/>
      <c r="T38" s="47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3.5">
      <c r="A39" s="5" t="s">
        <v>35</v>
      </c>
      <c r="B39" s="5" t="s">
        <v>139</v>
      </c>
      <c r="C39" s="5" t="s">
        <v>139</v>
      </c>
      <c r="D39" s="2" t="s">
        <v>40</v>
      </c>
      <c r="E39" s="5" t="s">
        <v>139</v>
      </c>
      <c r="F39" s="2" t="s">
        <v>140</v>
      </c>
      <c r="G39" s="5"/>
      <c r="H39" s="2" t="s">
        <v>141</v>
      </c>
      <c r="I39" s="35" t="s">
        <v>49</v>
      </c>
      <c r="J39" s="35" t="s">
        <v>49</v>
      </c>
      <c r="K39" s="2" t="s">
        <v>43</v>
      </c>
      <c r="L39" s="4" t="s">
        <v>135</v>
      </c>
      <c r="M39" s="5"/>
      <c r="N39" s="5"/>
      <c r="O39" s="5"/>
      <c r="P39" s="5"/>
      <c r="Q39" s="5"/>
      <c r="R39" s="5"/>
      <c r="S39" s="5"/>
      <c r="T39" s="47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13.5">
      <c r="A40" s="5" t="s">
        <v>35</v>
      </c>
      <c r="B40" s="5" t="s">
        <v>142</v>
      </c>
      <c r="C40" s="5" t="s">
        <v>142</v>
      </c>
      <c r="D40" s="2" t="s">
        <v>40</v>
      </c>
      <c r="E40" s="5" t="s">
        <v>142</v>
      </c>
      <c r="F40" s="2" t="s">
        <v>133</v>
      </c>
      <c r="G40" s="5"/>
      <c r="H40" s="2" t="s">
        <v>143</v>
      </c>
      <c r="I40" s="35" t="s">
        <v>49</v>
      </c>
      <c r="J40" s="35" t="s">
        <v>49</v>
      </c>
      <c r="K40" s="2" t="s">
        <v>43</v>
      </c>
      <c r="L40" s="7" t="s">
        <v>51</v>
      </c>
      <c r="M40" s="5"/>
      <c r="N40" s="5"/>
      <c r="O40" s="5"/>
      <c r="P40" s="5"/>
      <c r="Q40" s="5"/>
      <c r="R40" s="5"/>
      <c r="S40" s="5"/>
      <c r="T40" s="47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ht="13.5">
      <c r="A41" s="5" t="s">
        <v>35</v>
      </c>
      <c r="B41" s="5" t="s">
        <v>144</v>
      </c>
      <c r="C41" s="5" t="s">
        <v>144</v>
      </c>
      <c r="D41" s="7" t="s">
        <v>113</v>
      </c>
      <c r="E41" s="5" t="s">
        <v>144</v>
      </c>
      <c r="F41" s="7" t="s">
        <v>119</v>
      </c>
      <c r="G41" s="5"/>
      <c r="H41" s="7" t="s">
        <v>120</v>
      </c>
      <c r="I41" s="35">
        <v>20</v>
      </c>
      <c r="J41" s="35">
        <v>120</v>
      </c>
      <c r="K41" s="7" t="s">
        <v>50</v>
      </c>
      <c r="L41" s="4" t="s">
        <v>135</v>
      </c>
      <c r="M41" s="5"/>
      <c r="N41" s="5"/>
      <c r="O41" s="5"/>
      <c r="P41" s="5"/>
      <c r="Q41" s="5"/>
      <c r="R41" s="5"/>
      <c r="S41" s="5"/>
      <c r="T41" s="47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13.5">
      <c r="A42" s="5" t="s">
        <v>35</v>
      </c>
      <c r="B42" s="5" t="s">
        <v>145</v>
      </c>
      <c r="C42" s="5" t="s">
        <v>145</v>
      </c>
      <c r="D42" s="2" t="s">
        <v>40</v>
      </c>
      <c r="E42" s="5" t="s">
        <v>145</v>
      </c>
      <c r="F42" s="2" t="s">
        <v>41</v>
      </c>
      <c r="G42" s="5"/>
      <c r="H42" s="2" t="s">
        <v>42</v>
      </c>
      <c r="I42" s="3">
        <v>2.1</v>
      </c>
      <c r="J42" s="35">
        <v>322.10000000000002</v>
      </c>
      <c r="K42" s="2" t="s">
        <v>43</v>
      </c>
      <c r="L42" s="7" t="s">
        <v>51</v>
      </c>
      <c r="M42" s="5"/>
      <c r="N42" s="5"/>
      <c r="O42" s="5"/>
      <c r="P42" s="5"/>
      <c r="Q42" s="5"/>
      <c r="R42" s="5"/>
      <c r="S42" s="5"/>
      <c r="T42" s="47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ht="13.5">
      <c r="A43" s="5" t="s">
        <v>35</v>
      </c>
      <c r="B43" s="5" t="s">
        <v>146</v>
      </c>
      <c r="C43" s="5" t="s">
        <v>146</v>
      </c>
      <c r="D43" s="2" t="s">
        <v>40</v>
      </c>
      <c r="E43" s="5" t="s">
        <v>146</v>
      </c>
      <c r="F43" s="2" t="s">
        <v>41</v>
      </c>
      <c r="G43" s="5"/>
      <c r="H43" s="2" t="s">
        <v>42</v>
      </c>
      <c r="I43" s="3">
        <v>2.1</v>
      </c>
      <c r="J43" s="35">
        <v>322.10000000000002</v>
      </c>
      <c r="K43" s="2" t="s">
        <v>43</v>
      </c>
      <c r="L43" s="7" t="s">
        <v>51</v>
      </c>
      <c r="M43" s="5"/>
      <c r="N43" s="5"/>
      <c r="O43" s="5"/>
      <c r="P43" s="5"/>
      <c r="Q43" s="5"/>
      <c r="R43" s="5"/>
      <c r="S43" s="5"/>
      <c r="T43" s="47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13.5">
      <c r="A44" s="5" t="s">
        <v>35</v>
      </c>
      <c r="B44" s="5" t="s">
        <v>147</v>
      </c>
      <c r="C44" s="5" t="s">
        <v>147</v>
      </c>
      <c r="D44" s="2" t="s">
        <v>40</v>
      </c>
      <c r="E44" s="5" t="s">
        <v>147</v>
      </c>
      <c r="F44" s="2" t="s">
        <v>133</v>
      </c>
      <c r="G44" s="5"/>
      <c r="H44" s="2" t="s">
        <v>134</v>
      </c>
      <c r="I44" s="35" t="s">
        <v>49</v>
      </c>
      <c r="J44" s="35" t="s">
        <v>49</v>
      </c>
      <c r="K44" s="2" t="s">
        <v>43</v>
      </c>
      <c r="L44" s="7" t="s">
        <v>51</v>
      </c>
      <c r="M44" s="5"/>
      <c r="N44" s="5"/>
      <c r="O44" s="5"/>
      <c r="P44" s="5"/>
      <c r="Q44" s="5"/>
      <c r="R44" s="5"/>
      <c r="S44" s="5"/>
      <c r="T44" s="47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ht="13.5">
      <c r="A45" s="1" t="s">
        <v>35</v>
      </c>
      <c r="B45" s="5" t="s">
        <v>148</v>
      </c>
      <c r="C45" s="5" t="s">
        <v>148</v>
      </c>
      <c r="D45" s="2" t="s">
        <v>149</v>
      </c>
      <c r="E45" s="5" t="s">
        <v>148</v>
      </c>
      <c r="F45" s="7"/>
      <c r="G45" s="5"/>
      <c r="H45" s="2" t="s">
        <v>150</v>
      </c>
      <c r="I45" s="7" t="s">
        <v>49</v>
      </c>
      <c r="J45" s="7" t="s">
        <v>49</v>
      </c>
      <c r="K45" s="2" t="s">
        <v>151</v>
      </c>
      <c r="L45" s="7" t="s">
        <v>70</v>
      </c>
      <c r="M45" s="5"/>
      <c r="N45" s="5"/>
      <c r="O45" s="5"/>
      <c r="P45" s="5"/>
      <c r="Q45" s="5"/>
      <c r="R45" s="5"/>
      <c r="S45" s="5"/>
      <c r="T45" s="47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3.5">
      <c r="A46" s="5" t="s">
        <v>35</v>
      </c>
      <c r="B46" s="5" t="s">
        <v>152</v>
      </c>
      <c r="C46" s="5" t="s">
        <v>152</v>
      </c>
      <c r="D46" s="2" t="s">
        <v>40</v>
      </c>
      <c r="E46" s="5" t="s">
        <v>152</v>
      </c>
      <c r="F46" s="2" t="s">
        <v>41</v>
      </c>
      <c r="G46" s="5"/>
      <c r="H46" s="2" t="s">
        <v>42</v>
      </c>
      <c r="I46" s="3">
        <v>2.1</v>
      </c>
      <c r="J46" s="35">
        <v>322.10000000000002</v>
      </c>
      <c r="K46" s="2" t="s">
        <v>43</v>
      </c>
      <c r="L46" s="4" t="s">
        <v>44</v>
      </c>
      <c r="M46" s="5"/>
      <c r="N46" s="18"/>
      <c r="O46" s="5"/>
      <c r="P46" s="5"/>
      <c r="Q46" s="5"/>
      <c r="R46" s="5"/>
      <c r="S46" s="5"/>
      <c r="T46" s="47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3.5">
      <c r="A47" s="5" t="s">
        <v>35</v>
      </c>
      <c r="B47" s="5" t="s">
        <v>153</v>
      </c>
      <c r="C47" s="5" t="s">
        <v>153</v>
      </c>
      <c r="D47" s="2" t="s">
        <v>154</v>
      </c>
      <c r="E47" s="5" t="s">
        <v>153</v>
      </c>
      <c r="F47" s="7" t="s">
        <v>155</v>
      </c>
      <c r="G47" s="5"/>
      <c r="H47" s="7"/>
      <c r="I47" s="7"/>
      <c r="J47" s="7"/>
      <c r="K47" s="7"/>
      <c r="L47" s="7" t="s">
        <v>156</v>
      </c>
      <c r="M47" s="5"/>
      <c r="N47" s="18"/>
      <c r="O47" s="5"/>
      <c r="P47" s="5"/>
      <c r="Q47" s="5"/>
      <c r="R47" s="5"/>
      <c r="S47" s="5"/>
      <c r="T47" s="47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27">
      <c r="A48" s="5"/>
      <c r="B48" s="5"/>
      <c r="C48" s="5"/>
      <c r="D48" s="2"/>
      <c r="E48" s="5"/>
      <c r="F48" s="7"/>
      <c r="G48" s="5"/>
      <c r="H48" s="7"/>
      <c r="I48" s="7"/>
      <c r="J48" s="7"/>
      <c r="K48" s="7"/>
      <c r="L48" s="11" t="s">
        <v>157</v>
      </c>
      <c r="M48" s="8" t="s">
        <v>158</v>
      </c>
      <c r="N48" s="18"/>
      <c r="O48" s="5"/>
      <c r="P48" s="5"/>
      <c r="Q48" s="5"/>
      <c r="R48" s="5" t="s">
        <v>159</v>
      </c>
      <c r="S48" s="5" t="s">
        <v>160</v>
      </c>
      <c r="T48" s="47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3.5">
      <c r="A49" s="5" t="s">
        <v>35</v>
      </c>
      <c r="B49" s="5" t="s">
        <v>161</v>
      </c>
      <c r="C49" s="5" t="s">
        <v>161</v>
      </c>
      <c r="D49" s="7" t="s">
        <v>113</v>
      </c>
      <c r="E49" s="5" t="s">
        <v>161</v>
      </c>
      <c r="F49" s="7" t="s">
        <v>119</v>
      </c>
      <c r="G49" s="5"/>
      <c r="H49" s="7" t="s">
        <v>120</v>
      </c>
      <c r="I49" s="35">
        <v>20</v>
      </c>
      <c r="J49" s="35">
        <v>120</v>
      </c>
      <c r="K49" s="7" t="s">
        <v>50</v>
      </c>
      <c r="L49" s="4" t="s">
        <v>44</v>
      </c>
      <c r="M49" s="5"/>
      <c r="N49" s="18"/>
      <c r="O49" s="5"/>
      <c r="P49" s="5"/>
      <c r="Q49" s="5"/>
      <c r="R49" s="5"/>
      <c r="S49" s="5"/>
      <c r="T49" s="47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3.5">
      <c r="A50" s="5" t="s">
        <v>35</v>
      </c>
      <c r="B50" s="5" t="s">
        <v>162</v>
      </c>
      <c r="C50" s="5" t="s">
        <v>162</v>
      </c>
      <c r="D50" s="2" t="s">
        <v>40</v>
      </c>
      <c r="E50" s="5" t="s">
        <v>162</v>
      </c>
      <c r="F50" s="2" t="s">
        <v>133</v>
      </c>
      <c r="G50" s="5"/>
      <c r="H50" s="2" t="s">
        <v>134</v>
      </c>
      <c r="I50" s="35" t="s">
        <v>49</v>
      </c>
      <c r="J50" s="35" t="s">
        <v>49</v>
      </c>
      <c r="K50" s="2" t="s">
        <v>43</v>
      </c>
      <c r="L50" s="7" t="s">
        <v>51</v>
      </c>
      <c r="M50" s="5"/>
      <c r="N50" s="18"/>
      <c r="O50" s="5"/>
      <c r="P50" s="5"/>
      <c r="Q50" s="5"/>
      <c r="R50" s="5"/>
      <c r="S50" s="5"/>
      <c r="T50" s="47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3.5">
      <c r="A51" s="5" t="s">
        <v>35</v>
      </c>
      <c r="B51" s="5" t="s">
        <v>163</v>
      </c>
      <c r="C51" s="5" t="s">
        <v>163</v>
      </c>
      <c r="D51" s="2" t="s">
        <v>40</v>
      </c>
      <c r="E51" s="5" t="s">
        <v>163</v>
      </c>
      <c r="F51" s="2" t="s">
        <v>133</v>
      </c>
      <c r="G51" s="5"/>
      <c r="H51" s="2" t="s">
        <v>134</v>
      </c>
      <c r="I51" s="35" t="s">
        <v>49</v>
      </c>
      <c r="J51" s="35" t="s">
        <v>49</v>
      </c>
      <c r="K51" s="2" t="s">
        <v>43</v>
      </c>
      <c r="L51" s="4" t="s">
        <v>135</v>
      </c>
      <c r="M51" s="5"/>
      <c r="N51" s="5"/>
      <c r="O51" s="5"/>
      <c r="P51" s="5"/>
      <c r="Q51" s="5"/>
      <c r="R51" s="5"/>
      <c r="S51" s="5"/>
      <c r="T51" s="47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3.5">
      <c r="A52" s="5" t="s">
        <v>35</v>
      </c>
      <c r="B52" s="5" t="s">
        <v>164</v>
      </c>
      <c r="C52" s="5" t="s">
        <v>164</v>
      </c>
      <c r="D52" s="2" t="s">
        <v>40</v>
      </c>
      <c r="E52" s="5" t="s">
        <v>164</v>
      </c>
      <c r="F52" s="2" t="s">
        <v>133</v>
      </c>
      <c r="G52" s="5"/>
      <c r="H52" s="2" t="s">
        <v>134</v>
      </c>
      <c r="I52" s="35" t="s">
        <v>49</v>
      </c>
      <c r="J52" s="35" t="s">
        <v>49</v>
      </c>
      <c r="K52" s="2" t="s">
        <v>43</v>
      </c>
      <c r="L52" s="7" t="s">
        <v>51</v>
      </c>
      <c r="M52" s="5"/>
      <c r="N52" s="5"/>
      <c r="O52" s="5"/>
      <c r="P52" s="5"/>
      <c r="Q52" s="5"/>
      <c r="R52" s="5"/>
      <c r="S52" s="5"/>
      <c r="T52" s="47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40.5">
      <c r="A53" s="5" t="s">
        <v>35</v>
      </c>
      <c r="B53" s="5" t="s">
        <v>165</v>
      </c>
      <c r="C53" s="5" t="s">
        <v>165</v>
      </c>
      <c r="D53" s="2" t="s">
        <v>40</v>
      </c>
      <c r="E53" s="5" t="s">
        <v>165</v>
      </c>
      <c r="F53" s="2" t="s">
        <v>133</v>
      </c>
      <c r="G53" s="5"/>
      <c r="H53" s="2" t="s">
        <v>134</v>
      </c>
      <c r="I53" s="35" t="s">
        <v>49</v>
      </c>
      <c r="J53" s="35" t="s">
        <v>49</v>
      </c>
      <c r="K53" s="2" t="s">
        <v>43</v>
      </c>
      <c r="L53" s="4" t="s">
        <v>166</v>
      </c>
      <c r="M53" s="5"/>
      <c r="N53" s="5"/>
      <c r="O53" s="5"/>
      <c r="P53" s="5"/>
      <c r="Q53" s="5"/>
      <c r="R53" s="5"/>
      <c r="S53" s="5"/>
      <c r="T53" s="47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27">
      <c r="A54" s="1" t="s">
        <v>35</v>
      </c>
      <c r="B54" s="5" t="s">
        <v>167</v>
      </c>
      <c r="C54" s="5" t="s">
        <v>167</v>
      </c>
      <c r="D54" s="2" t="s">
        <v>40</v>
      </c>
      <c r="E54" s="5" t="s">
        <v>167</v>
      </c>
      <c r="F54" s="2" t="s">
        <v>133</v>
      </c>
      <c r="G54" s="5"/>
      <c r="H54" s="2" t="s">
        <v>134</v>
      </c>
      <c r="I54" s="35" t="s">
        <v>49</v>
      </c>
      <c r="J54" s="35" t="s">
        <v>49</v>
      </c>
      <c r="K54" s="2" t="s">
        <v>43</v>
      </c>
      <c r="L54" s="7" t="s">
        <v>168</v>
      </c>
      <c r="M54" s="5"/>
      <c r="N54" s="5"/>
      <c r="O54" s="5"/>
      <c r="P54" s="5"/>
      <c r="Q54" s="5"/>
      <c r="R54" s="5"/>
      <c r="S54" s="5"/>
      <c r="T54" s="47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40.5">
      <c r="A55" s="52" t="s">
        <v>35</v>
      </c>
      <c r="B55" s="52" t="s">
        <v>169</v>
      </c>
      <c r="C55" s="52" t="s">
        <v>169</v>
      </c>
      <c r="D55" s="53" t="s">
        <v>40</v>
      </c>
      <c r="E55" s="52" t="s">
        <v>169</v>
      </c>
      <c r="F55" s="14" t="s">
        <v>170</v>
      </c>
      <c r="G55" s="17"/>
      <c r="H55" s="14" t="s">
        <v>171</v>
      </c>
      <c r="I55" s="3">
        <v>5.2</v>
      </c>
      <c r="J55" s="35">
        <v>574.6</v>
      </c>
      <c r="K55" s="2" t="s">
        <v>43</v>
      </c>
      <c r="L55" s="29" t="s">
        <v>172</v>
      </c>
      <c r="M55" s="15" t="s">
        <v>173</v>
      </c>
      <c r="N55" s="16" t="s">
        <v>174</v>
      </c>
      <c r="O55" s="17" t="s">
        <v>175</v>
      </c>
      <c r="P55" s="17" t="s">
        <v>176</v>
      </c>
      <c r="Q55" s="5" t="s">
        <v>96</v>
      </c>
      <c r="R55" s="5" t="s">
        <v>97</v>
      </c>
      <c r="S55" s="5" t="s">
        <v>177</v>
      </c>
      <c r="T55" s="47" t="s">
        <v>178</v>
      </c>
      <c r="U55" s="16" t="s">
        <v>179</v>
      </c>
      <c r="V55" s="16" t="s">
        <v>180</v>
      </c>
      <c r="W55" s="17" t="s">
        <v>181</v>
      </c>
      <c r="X55" s="17" t="s">
        <v>182</v>
      </c>
      <c r="Y55" s="17" t="s">
        <v>183</v>
      </c>
      <c r="Z55" s="17"/>
      <c r="AA55" s="17"/>
      <c r="AB55" s="17"/>
      <c r="AC55" s="17"/>
      <c r="AD55" s="5" t="s">
        <v>184</v>
      </c>
      <c r="AE55" s="5"/>
      <c r="AF55" s="5"/>
      <c r="AG55" s="5" t="s">
        <v>185</v>
      </c>
      <c r="AH55" s="5" t="s">
        <v>185</v>
      </c>
      <c r="AI55" s="5" t="s">
        <v>186</v>
      </c>
    </row>
    <row r="56" spans="1:35" ht="35.25">
      <c r="A56" s="52"/>
      <c r="B56" s="52"/>
      <c r="C56" s="52" t="s">
        <v>187</v>
      </c>
      <c r="D56" s="53"/>
      <c r="E56" s="52"/>
      <c r="F56" s="53"/>
      <c r="G56" s="52"/>
      <c r="H56" s="53"/>
      <c r="I56" s="54"/>
      <c r="J56" s="54"/>
      <c r="K56" s="2"/>
      <c r="L56" s="11" t="s">
        <v>92</v>
      </c>
      <c r="M56" s="15" t="s">
        <v>173</v>
      </c>
      <c r="N56" s="17" t="s">
        <v>188</v>
      </c>
      <c r="O56" s="5" t="s">
        <v>189</v>
      </c>
      <c r="P56" s="5" t="s">
        <v>190</v>
      </c>
      <c r="Q56" s="5" t="s">
        <v>96</v>
      </c>
      <c r="R56" s="5" t="s">
        <v>191</v>
      </c>
      <c r="S56" s="18" t="s">
        <v>192</v>
      </c>
      <c r="T56" s="47" t="s">
        <v>193</v>
      </c>
      <c r="U56" s="5" t="s">
        <v>194</v>
      </c>
      <c r="V56" s="5" t="s">
        <v>195</v>
      </c>
      <c r="W56" s="5" t="s">
        <v>196</v>
      </c>
      <c r="X56" s="5" t="s">
        <v>197</v>
      </c>
      <c r="Y56" s="5" t="s">
        <v>198</v>
      </c>
      <c r="Z56" s="5"/>
      <c r="AA56" s="5"/>
      <c r="AB56" s="5"/>
      <c r="AC56" s="5"/>
      <c r="AD56" s="5" t="s">
        <v>199</v>
      </c>
      <c r="AE56" s="5"/>
      <c r="AF56" s="5"/>
      <c r="AG56" s="5"/>
      <c r="AH56" s="5"/>
      <c r="AI56" s="5"/>
    </row>
    <row r="57" spans="1:35" ht="35.25">
      <c r="A57" s="5"/>
      <c r="B57" s="5"/>
      <c r="C57" s="5" t="s">
        <v>187</v>
      </c>
      <c r="D57" s="2"/>
      <c r="E57" s="5"/>
      <c r="F57" s="2"/>
      <c r="G57" s="5"/>
      <c r="H57" s="2"/>
      <c r="I57" s="35"/>
      <c r="J57" s="35"/>
      <c r="K57" s="2"/>
      <c r="L57" s="11" t="s">
        <v>200</v>
      </c>
      <c r="M57" s="15" t="s">
        <v>173</v>
      </c>
      <c r="N57" s="5" t="s">
        <v>201</v>
      </c>
      <c r="O57" s="5" t="s">
        <v>202</v>
      </c>
      <c r="P57" s="5" t="s">
        <v>203</v>
      </c>
      <c r="Q57" s="5" t="s">
        <v>96</v>
      </c>
      <c r="R57" s="5" t="s">
        <v>84</v>
      </c>
      <c r="S57" s="5" t="s">
        <v>204</v>
      </c>
      <c r="T57" s="47" t="s">
        <v>205</v>
      </c>
      <c r="U57" s="5" t="s">
        <v>206</v>
      </c>
      <c r="V57" s="5" t="s">
        <v>207</v>
      </c>
      <c r="W57" s="5" t="s">
        <v>102</v>
      </c>
      <c r="X57" s="5" t="s">
        <v>208</v>
      </c>
      <c r="Y57" s="5" t="s">
        <v>209</v>
      </c>
      <c r="Z57" s="5"/>
      <c r="AA57" s="5"/>
      <c r="AB57" s="5"/>
      <c r="AC57" s="5"/>
      <c r="AD57" s="5" t="s">
        <v>210</v>
      </c>
      <c r="AE57" s="5"/>
      <c r="AF57" s="5"/>
      <c r="AG57" s="19" t="s">
        <v>211</v>
      </c>
      <c r="AH57" s="5"/>
      <c r="AI57" s="5"/>
    </row>
    <row r="58" spans="1:35" ht="13.5">
      <c r="A58" s="5" t="s">
        <v>35</v>
      </c>
      <c r="B58" s="5" t="s">
        <v>212</v>
      </c>
      <c r="C58" s="5" t="s">
        <v>212</v>
      </c>
      <c r="D58" s="2" t="s">
        <v>40</v>
      </c>
      <c r="E58" s="5" t="s">
        <v>212</v>
      </c>
      <c r="F58" s="2" t="s">
        <v>170</v>
      </c>
      <c r="G58" s="5"/>
      <c r="H58" s="2" t="s">
        <v>171</v>
      </c>
      <c r="I58" s="3">
        <v>5.2</v>
      </c>
      <c r="J58" s="35">
        <v>574.6</v>
      </c>
      <c r="K58" s="2" t="s">
        <v>43</v>
      </c>
      <c r="L58" s="7" t="s">
        <v>51</v>
      </c>
      <c r="M58" s="5"/>
      <c r="O58" s="5"/>
      <c r="P58" s="5"/>
      <c r="Q58" s="5"/>
      <c r="R58" s="5"/>
      <c r="S58" s="5"/>
      <c r="T58" s="47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3.5">
      <c r="A59" s="5" t="s">
        <v>35</v>
      </c>
      <c r="B59" s="5" t="s">
        <v>213</v>
      </c>
      <c r="C59" s="5" t="s">
        <v>213</v>
      </c>
      <c r="D59" s="2" t="s">
        <v>40</v>
      </c>
      <c r="E59" s="5" t="s">
        <v>213</v>
      </c>
      <c r="F59" s="2" t="s">
        <v>170</v>
      </c>
      <c r="G59" s="5"/>
      <c r="H59" s="2" t="s">
        <v>171</v>
      </c>
      <c r="I59" s="3">
        <v>5.2</v>
      </c>
      <c r="J59" s="35">
        <v>574.6</v>
      </c>
      <c r="K59" s="2" t="s">
        <v>43</v>
      </c>
      <c r="L59" s="7" t="s">
        <v>214</v>
      </c>
      <c r="M59" s="5"/>
      <c r="N59" s="5"/>
      <c r="O59" s="5"/>
      <c r="P59" s="5"/>
      <c r="Q59" s="5"/>
      <c r="R59" s="5"/>
      <c r="S59" s="5"/>
      <c r="T59" s="47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3.5">
      <c r="A60" s="5" t="s">
        <v>35</v>
      </c>
      <c r="B60" s="5" t="s">
        <v>215</v>
      </c>
      <c r="C60" s="5" t="s">
        <v>215</v>
      </c>
      <c r="D60" s="2" t="s">
        <v>40</v>
      </c>
      <c r="E60" s="5" t="s">
        <v>215</v>
      </c>
      <c r="F60" s="2" t="s">
        <v>41</v>
      </c>
      <c r="G60" s="5"/>
      <c r="H60" s="2" t="s">
        <v>42</v>
      </c>
      <c r="I60" s="3">
        <v>2.1</v>
      </c>
      <c r="J60" s="35">
        <v>322.10000000000002</v>
      </c>
      <c r="K60" s="2" t="s">
        <v>43</v>
      </c>
      <c r="L60" s="4" t="s">
        <v>44</v>
      </c>
      <c r="M60" s="5"/>
      <c r="N60" s="5"/>
      <c r="O60" s="5"/>
      <c r="P60" s="5"/>
      <c r="Q60" s="5"/>
      <c r="R60" s="5"/>
      <c r="S60" s="5"/>
      <c r="T60" s="47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53.25">
      <c r="A61" s="52" t="s">
        <v>35</v>
      </c>
      <c r="B61" s="52" t="s">
        <v>216</v>
      </c>
      <c r="C61" s="52" t="s">
        <v>216</v>
      </c>
      <c r="D61" s="53" t="s">
        <v>40</v>
      </c>
      <c r="E61" s="52" t="s">
        <v>216</v>
      </c>
      <c r="F61" s="14" t="s">
        <v>41</v>
      </c>
      <c r="G61" s="17"/>
      <c r="H61" s="14" t="s">
        <v>217</v>
      </c>
      <c r="I61" s="35">
        <v>23</v>
      </c>
      <c r="J61" s="35">
        <v>460.2</v>
      </c>
      <c r="K61" s="2" t="s">
        <v>43</v>
      </c>
      <c r="L61" s="29" t="s">
        <v>218</v>
      </c>
      <c r="M61" s="15" t="s">
        <v>173</v>
      </c>
      <c r="N61" s="16" t="s">
        <v>219</v>
      </c>
      <c r="O61" s="17" t="s">
        <v>220</v>
      </c>
      <c r="P61" s="17" t="s">
        <v>221</v>
      </c>
      <c r="Q61" s="5" t="s">
        <v>96</v>
      </c>
      <c r="R61" s="5" t="s">
        <v>84</v>
      </c>
      <c r="S61" s="5" t="s">
        <v>222</v>
      </c>
      <c r="T61" s="47" t="s">
        <v>223</v>
      </c>
      <c r="U61" s="16" t="s">
        <v>224</v>
      </c>
      <c r="V61" s="16" t="s">
        <v>225</v>
      </c>
      <c r="W61" s="17" t="s">
        <v>181</v>
      </c>
      <c r="X61" s="17" t="s">
        <v>226</v>
      </c>
      <c r="Y61" s="17" t="s">
        <v>227</v>
      </c>
      <c r="Z61" s="17"/>
      <c r="AA61" s="17"/>
      <c r="AB61" s="17"/>
      <c r="AC61" s="17"/>
      <c r="AD61" s="5" t="s">
        <v>228</v>
      </c>
      <c r="AE61" s="5"/>
      <c r="AF61" s="5"/>
      <c r="AG61" s="5"/>
      <c r="AH61" s="5"/>
      <c r="AI61" s="5"/>
    </row>
    <row r="62" spans="1:35" ht="35.25">
      <c r="A62" s="5"/>
      <c r="B62" s="5"/>
      <c r="C62" s="5"/>
      <c r="D62" s="2"/>
      <c r="E62" s="5"/>
      <c r="F62" s="2"/>
      <c r="G62" s="5"/>
      <c r="H62" s="2" t="s">
        <v>229</v>
      </c>
      <c r="I62" s="35"/>
      <c r="J62" s="35"/>
      <c r="K62" s="2"/>
      <c r="L62" s="29" t="s">
        <v>230</v>
      </c>
      <c r="M62" s="15" t="s">
        <v>173</v>
      </c>
      <c r="N62" s="15" t="s">
        <v>231</v>
      </c>
      <c r="O62" s="17" t="s">
        <v>232</v>
      </c>
      <c r="P62" s="20" t="s">
        <v>233</v>
      </c>
      <c r="Q62" s="5" t="s">
        <v>234</v>
      </c>
      <c r="R62" s="5" t="s">
        <v>84</v>
      </c>
      <c r="S62" s="5" t="s">
        <v>235</v>
      </c>
      <c r="T62" s="47" t="s">
        <v>236</v>
      </c>
      <c r="U62" s="16" t="s">
        <v>237</v>
      </c>
      <c r="V62" s="16" t="s">
        <v>238</v>
      </c>
      <c r="W62" s="17" t="s">
        <v>239</v>
      </c>
      <c r="X62" s="17" t="s">
        <v>240</v>
      </c>
      <c r="Y62" s="17" t="s">
        <v>241</v>
      </c>
      <c r="Z62" s="17"/>
      <c r="AA62" s="17"/>
      <c r="AB62" s="17"/>
      <c r="AC62" s="17"/>
      <c r="AD62" s="5" t="s">
        <v>228</v>
      </c>
      <c r="AE62" s="5"/>
      <c r="AF62" s="5"/>
      <c r="AG62" s="5"/>
      <c r="AH62" s="5"/>
      <c r="AI62" s="5"/>
    </row>
    <row r="63" spans="1:35" ht="35.25">
      <c r="A63" s="5"/>
      <c r="B63" s="5"/>
      <c r="C63" s="5"/>
      <c r="D63" s="2"/>
      <c r="E63" s="5"/>
      <c r="F63" s="2"/>
      <c r="G63" s="5"/>
      <c r="H63" s="2" t="s">
        <v>242</v>
      </c>
      <c r="I63" s="35"/>
      <c r="J63" s="35"/>
      <c r="K63" s="2"/>
      <c r="L63" s="29" t="s">
        <v>243</v>
      </c>
      <c r="M63" s="15" t="s">
        <v>173</v>
      </c>
      <c r="N63" s="15" t="s">
        <v>244</v>
      </c>
      <c r="O63" s="17" t="s">
        <v>245</v>
      </c>
      <c r="P63" s="20" t="s">
        <v>246</v>
      </c>
      <c r="Q63" s="5" t="s">
        <v>247</v>
      </c>
      <c r="R63" s="18" t="s">
        <v>84</v>
      </c>
      <c r="S63" s="18" t="s">
        <v>248</v>
      </c>
      <c r="T63" s="47">
        <v>3.9750000000000001</v>
      </c>
      <c r="U63" s="16" t="s">
        <v>249</v>
      </c>
      <c r="V63" s="16" t="s">
        <v>250</v>
      </c>
      <c r="W63" s="17" t="s">
        <v>251</v>
      </c>
      <c r="X63" s="17" t="s">
        <v>252</v>
      </c>
      <c r="Y63" s="17" t="s">
        <v>253</v>
      </c>
      <c r="Z63" s="17"/>
      <c r="AA63" s="17"/>
      <c r="AB63" s="17"/>
      <c r="AC63" s="17"/>
      <c r="AD63" s="5" t="s">
        <v>254</v>
      </c>
      <c r="AE63" s="5"/>
      <c r="AF63" s="5"/>
      <c r="AG63" s="5"/>
      <c r="AH63" s="5"/>
      <c r="AI63" s="5"/>
    </row>
    <row r="64" spans="1:35" ht="35.25">
      <c r="A64" s="52"/>
      <c r="B64" s="52"/>
      <c r="C64" s="52"/>
      <c r="D64" s="53"/>
      <c r="E64" s="55"/>
      <c r="F64" s="53"/>
      <c r="G64" s="52"/>
      <c r="H64" s="53" t="s">
        <v>255</v>
      </c>
      <c r="I64" s="54"/>
      <c r="J64" s="54"/>
      <c r="K64" s="2"/>
      <c r="L64" s="11" t="s">
        <v>256</v>
      </c>
      <c r="M64" s="15" t="s">
        <v>173</v>
      </c>
      <c r="N64" s="21" t="s">
        <v>257</v>
      </c>
      <c r="O64" s="5" t="s">
        <v>258</v>
      </c>
      <c r="P64" s="21" t="s">
        <v>259</v>
      </c>
      <c r="Q64" s="5" t="s">
        <v>96</v>
      </c>
      <c r="R64" s="18" t="s">
        <v>260</v>
      </c>
      <c r="S64" s="18" t="s">
        <v>261</v>
      </c>
      <c r="T64" s="47" t="s">
        <v>262</v>
      </c>
      <c r="U64" s="5" t="s">
        <v>263</v>
      </c>
      <c r="V64" s="5" t="s">
        <v>264</v>
      </c>
      <c r="W64" s="5" t="s">
        <v>265</v>
      </c>
      <c r="X64" s="5" t="s">
        <v>266</v>
      </c>
      <c r="Y64" s="5" t="s">
        <v>267</v>
      </c>
      <c r="Z64" s="5"/>
      <c r="AA64" s="5"/>
      <c r="AB64" s="5"/>
      <c r="AC64" s="5"/>
      <c r="AD64" s="5" t="s">
        <v>268</v>
      </c>
      <c r="AE64" s="5"/>
      <c r="AF64" s="5"/>
      <c r="AG64" s="5"/>
      <c r="AH64" s="5"/>
      <c r="AI64" s="5"/>
    </row>
    <row r="65" spans="1:35" ht="35.25">
      <c r="A65" s="23"/>
      <c r="B65" s="23"/>
      <c r="C65" s="23"/>
      <c r="D65" s="22" t="s">
        <v>40</v>
      </c>
      <c r="E65" s="23" t="s">
        <v>216</v>
      </c>
      <c r="F65" s="22"/>
      <c r="G65" s="23"/>
      <c r="H65" s="22"/>
      <c r="I65" s="37"/>
      <c r="J65" s="37"/>
      <c r="K65" s="22"/>
      <c r="L65" s="24" t="s">
        <v>269</v>
      </c>
      <c r="M65" s="25" t="s">
        <v>173</v>
      </c>
      <c r="N65" s="25" t="s">
        <v>270</v>
      </c>
      <c r="O65" s="23" t="s">
        <v>271</v>
      </c>
      <c r="P65" s="25" t="s">
        <v>272</v>
      </c>
      <c r="Q65" s="23" t="s">
        <v>273</v>
      </c>
      <c r="R65" s="26" t="s">
        <v>84</v>
      </c>
      <c r="S65" s="26" t="s">
        <v>274</v>
      </c>
      <c r="T65" s="47" t="s">
        <v>275</v>
      </c>
      <c r="U65" s="23" t="s">
        <v>276</v>
      </c>
      <c r="V65" s="23" t="s">
        <v>277</v>
      </c>
      <c r="W65" s="23" t="s">
        <v>278</v>
      </c>
      <c r="X65" s="23" t="s">
        <v>279</v>
      </c>
      <c r="Y65" s="23" t="s">
        <v>280</v>
      </c>
      <c r="Z65" s="23"/>
      <c r="AA65" s="23"/>
      <c r="AB65" s="23"/>
      <c r="AC65" s="23"/>
      <c r="AD65" s="23" t="s">
        <v>281</v>
      </c>
      <c r="AE65" s="23"/>
      <c r="AF65" s="23"/>
      <c r="AG65" s="27" t="s">
        <v>282</v>
      </c>
      <c r="AH65" s="23"/>
      <c r="AI65" s="23"/>
    </row>
    <row r="66" spans="1:35" ht="23.25">
      <c r="A66" s="5"/>
      <c r="B66" s="5"/>
      <c r="C66" s="5"/>
      <c r="D66" s="2"/>
      <c r="E66" s="5"/>
      <c r="F66" s="2"/>
      <c r="G66" s="5"/>
      <c r="I66" s="35"/>
      <c r="J66" s="35"/>
      <c r="K66" s="2"/>
      <c r="L66" s="2" t="s">
        <v>283</v>
      </c>
      <c r="M66" s="15"/>
      <c r="N66" s="15" t="s">
        <v>284</v>
      </c>
      <c r="O66" s="17" t="s">
        <v>285</v>
      </c>
      <c r="P66" s="20" t="s">
        <v>286</v>
      </c>
      <c r="Q66" s="25" t="s">
        <v>273</v>
      </c>
      <c r="R66" s="18" t="s">
        <v>287</v>
      </c>
      <c r="S66" s="18" t="s">
        <v>288</v>
      </c>
      <c r="T66" s="47" t="s">
        <v>289</v>
      </c>
      <c r="U66" s="16" t="s">
        <v>290</v>
      </c>
      <c r="V66" s="16" t="s">
        <v>291</v>
      </c>
      <c r="W66" s="17" t="s">
        <v>292</v>
      </c>
      <c r="X66" s="17" t="s">
        <v>293</v>
      </c>
      <c r="Y66" s="17" t="s">
        <v>294</v>
      </c>
      <c r="Z66" s="17"/>
      <c r="AA66" s="17"/>
      <c r="AB66" s="17"/>
      <c r="AC66" s="17"/>
      <c r="AD66" s="5" t="s">
        <v>295</v>
      </c>
      <c r="AE66" s="5"/>
      <c r="AF66" s="5"/>
      <c r="AG66" s="5" t="s">
        <v>296</v>
      </c>
      <c r="AH66" s="5" t="s">
        <v>297</v>
      </c>
      <c r="AI66" s="5" t="s">
        <v>298</v>
      </c>
    </row>
    <row r="67" spans="1:35" ht="13.5">
      <c r="A67" s="5" t="s">
        <v>35</v>
      </c>
      <c r="B67" s="5" t="s">
        <v>299</v>
      </c>
      <c r="C67" s="5" t="s">
        <v>299</v>
      </c>
      <c r="D67" s="2" t="s">
        <v>300</v>
      </c>
      <c r="E67" s="5" t="s">
        <v>299</v>
      </c>
      <c r="F67" s="2" t="s">
        <v>301</v>
      </c>
      <c r="G67" s="5"/>
      <c r="H67" s="2" t="s">
        <v>302</v>
      </c>
      <c r="I67" s="35">
        <v>19</v>
      </c>
      <c r="J67" s="35">
        <v>232.8</v>
      </c>
      <c r="K67" s="2" t="s">
        <v>43</v>
      </c>
      <c r="L67" s="7" t="s">
        <v>51</v>
      </c>
      <c r="N67" s="5"/>
      <c r="O67" s="5"/>
      <c r="P67" s="5"/>
      <c r="Q67" s="5"/>
      <c r="R67" s="5"/>
      <c r="S67" s="5"/>
      <c r="T67" s="47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 ht="13.5">
      <c r="A68" s="5" t="s">
        <v>35</v>
      </c>
      <c r="B68" s="5" t="s">
        <v>303</v>
      </c>
      <c r="C68" s="5" t="s">
        <v>303</v>
      </c>
      <c r="D68" s="2" t="s">
        <v>300</v>
      </c>
      <c r="E68" s="5" t="s">
        <v>303</v>
      </c>
      <c r="F68" s="2" t="s">
        <v>301</v>
      </c>
      <c r="G68" s="5"/>
      <c r="H68" s="2" t="s">
        <v>302</v>
      </c>
      <c r="I68" s="35">
        <v>19</v>
      </c>
      <c r="J68" s="35">
        <v>232.8</v>
      </c>
      <c r="K68" s="2" t="s">
        <v>43</v>
      </c>
      <c r="L68" s="7" t="s">
        <v>51</v>
      </c>
      <c r="M68" s="5"/>
      <c r="N68" s="18"/>
      <c r="O68" s="5"/>
      <c r="P68" s="5"/>
      <c r="Q68" s="5"/>
      <c r="R68" s="5"/>
      <c r="S68" s="5"/>
      <c r="T68" s="47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35" ht="13.5">
      <c r="A69" s="1" t="s">
        <v>35</v>
      </c>
      <c r="B69" s="5" t="s">
        <v>304</v>
      </c>
      <c r="C69" s="5" t="s">
        <v>304</v>
      </c>
      <c r="D69" s="2" t="s">
        <v>300</v>
      </c>
      <c r="E69" s="5" t="s">
        <v>304</v>
      </c>
      <c r="F69" s="2" t="s">
        <v>301</v>
      </c>
      <c r="G69" s="5"/>
      <c r="H69" s="2" t="s">
        <v>302</v>
      </c>
      <c r="I69" s="35">
        <v>19</v>
      </c>
      <c r="J69" s="35">
        <v>232.8</v>
      </c>
      <c r="K69" s="2" t="s">
        <v>43</v>
      </c>
      <c r="L69" s="7" t="s">
        <v>51</v>
      </c>
      <c r="M69" s="5"/>
      <c r="N69" s="18"/>
      <c r="O69" s="5"/>
      <c r="P69" s="5"/>
      <c r="Q69" s="5"/>
      <c r="R69" s="5"/>
      <c r="S69" s="5"/>
      <c r="T69" s="47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1:35" ht="13.5">
      <c r="A70" s="5" t="s">
        <v>35</v>
      </c>
      <c r="B70" s="5" t="s">
        <v>305</v>
      </c>
      <c r="C70" s="5" t="s">
        <v>305</v>
      </c>
      <c r="D70" s="2" t="s">
        <v>300</v>
      </c>
      <c r="E70" s="5" t="s">
        <v>305</v>
      </c>
      <c r="F70" s="2" t="s">
        <v>301</v>
      </c>
      <c r="G70" s="5"/>
      <c r="H70" s="2" t="s">
        <v>302</v>
      </c>
      <c r="I70" s="35">
        <v>19</v>
      </c>
      <c r="J70" s="35">
        <v>232.8</v>
      </c>
      <c r="K70" s="2" t="s">
        <v>43</v>
      </c>
      <c r="L70" s="7" t="s">
        <v>51</v>
      </c>
      <c r="M70" s="5"/>
      <c r="N70" s="18"/>
      <c r="O70" s="5"/>
      <c r="P70" s="5"/>
      <c r="Q70" s="5"/>
      <c r="R70" s="5"/>
      <c r="S70" s="5"/>
      <c r="T70" s="47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1:35" ht="27">
      <c r="A71" s="5" t="s">
        <v>35</v>
      </c>
      <c r="B71" s="5" t="s">
        <v>306</v>
      </c>
      <c r="C71" s="5" t="s">
        <v>306</v>
      </c>
      <c r="D71" s="2" t="s">
        <v>300</v>
      </c>
      <c r="E71" s="5" t="s">
        <v>306</v>
      </c>
      <c r="F71" s="2" t="s">
        <v>301</v>
      </c>
      <c r="G71" s="5"/>
      <c r="H71" s="2" t="s">
        <v>302</v>
      </c>
      <c r="I71" s="35">
        <v>19</v>
      </c>
      <c r="J71" s="35">
        <v>232.8</v>
      </c>
      <c r="K71" s="2" t="s">
        <v>43</v>
      </c>
      <c r="L71" s="7" t="s">
        <v>168</v>
      </c>
      <c r="M71" s="5"/>
      <c r="N71" s="18"/>
      <c r="O71" s="5"/>
      <c r="P71" s="5"/>
      <c r="Q71" s="5"/>
      <c r="R71" s="5"/>
      <c r="S71" s="5"/>
      <c r="T71" s="47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5" ht="27">
      <c r="A72" s="5" t="s">
        <v>35</v>
      </c>
      <c r="B72" s="5" t="s">
        <v>307</v>
      </c>
      <c r="C72" s="5" t="s">
        <v>307</v>
      </c>
      <c r="D72" s="2" t="s">
        <v>300</v>
      </c>
      <c r="E72" s="5" t="s">
        <v>307</v>
      </c>
      <c r="F72" s="2" t="s">
        <v>301</v>
      </c>
      <c r="G72" s="5"/>
      <c r="H72" s="2" t="s">
        <v>302</v>
      </c>
      <c r="I72" s="35">
        <v>19</v>
      </c>
      <c r="J72" s="35">
        <v>232.8</v>
      </c>
      <c r="K72" s="2" t="s">
        <v>43</v>
      </c>
      <c r="L72" s="7" t="s">
        <v>308</v>
      </c>
      <c r="M72" s="5"/>
      <c r="N72" s="18"/>
      <c r="O72" s="5"/>
      <c r="P72" s="5"/>
      <c r="Q72" s="5"/>
      <c r="R72" s="5"/>
      <c r="S72" s="5"/>
      <c r="T72" s="47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1:35" ht="13.5">
      <c r="A73" s="5" t="s">
        <v>35</v>
      </c>
      <c r="B73" s="5" t="s">
        <v>309</v>
      </c>
      <c r="C73" s="5" t="s">
        <v>309</v>
      </c>
      <c r="D73" s="2" t="s">
        <v>300</v>
      </c>
      <c r="E73" s="5" t="s">
        <v>309</v>
      </c>
      <c r="F73" s="2" t="s">
        <v>301</v>
      </c>
      <c r="G73" s="5"/>
      <c r="H73" s="2" t="s">
        <v>302</v>
      </c>
      <c r="I73" s="35">
        <v>19</v>
      </c>
      <c r="J73" s="35">
        <v>232.8</v>
      </c>
      <c r="K73" s="2" t="s">
        <v>43</v>
      </c>
      <c r="L73" s="7" t="s">
        <v>51</v>
      </c>
      <c r="M73" s="5"/>
      <c r="N73" s="18"/>
      <c r="O73" s="5"/>
      <c r="P73" s="5"/>
      <c r="Q73" s="5"/>
      <c r="R73" s="5"/>
      <c r="S73" s="5"/>
      <c r="T73" s="47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5" ht="13.5">
      <c r="A74" s="5" t="s">
        <v>35</v>
      </c>
      <c r="B74" s="5" t="s">
        <v>310</v>
      </c>
      <c r="C74" s="5" t="s">
        <v>310</v>
      </c>
      <c r="D74" s="2" t="s">
        <v>300</v>
      </c>
      <c r="E74" s="5" t="s">
        <v>310</v>
      </c>
      <c r="F74" s="2" t="s">
        <v>301</v>
      </c>
      <c r="G74" s="5"/>
      <c r="H74" s="2" t="s">
        <v>302</v>
      </c>
      <c r="I74" s="35">
        <v>19</v>
      </c>
      <c r="J74" s="35">
        <v>232.8</v>
      </c>
      <c r="K74" s="2" t="s">
        <v>43</v>
      </c>
      <c r="L74" s="7" t="s">
        <v>51</v>
      </c>
      <c r="M74" s="5"/>
      <c r="N74" s="18"/>
      <c r="O74" s="5"/>
      <c r="P74" s="5"/>
      <c r="Q74" s="5"/>
      <c r="R74" s="5"/>
      <c r="S74" s="5"/>
      <c r="T74" s="47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 ht="35.25">
      <c r="A75" s="52" t="s">
        <v>35</v>
      </c>
      <c r="B75" s="52" t="s">
        <v>311</v>
      </c>
      <c r="C75" s="52" t="s">
        <v>311</v>
      </c>
      <c r="D75" s="53" t="s">
        <v>312</v>
      </c>
      <c r="E75" s="52" t="s">
        <v>311</v>
      </c>
      <c r="F75" s="53" t="s">
        <v>313</v>
      </c>
      <c r="G75" s="52"/>
      <c r="H75" s="53" t="s">
        <v>314</v>
      </c>
      <c r="I75" s="54" t="s">
        <v>49</v>
      </c>
      <c r="J75" s="54" t="s">
        <v>49</v>
      </c>
      <c r="K75" s="2" t="s">
        <v>50</v>
      </c>
      <c r="L75" s="29" t="s">
        <v>315</v>
      </c>
      <c r="M75" s="15" t="s">
        <v>173</v>
      </c>
      <c r="N75" s="18">
        <v>0.3821</v>
      </c>
      <c r="O75" s="5" t="s">
        <v>316</v>
      </c>
      <c r="P75" s="5" t="s">
        <v>317</v>
      </c>
      <c r="Q75" s="5" t="s">
        <v>96</v>
      </c>
      <c r="R75" s="5" t="s">
        <v>260</v>
      </c>
      <c r="S75" s="5" t="s">
        <v>318</v>
      </c>
      <c r="T75" s="47" t="s">
        <v>319</v>
      </c>
      <c r="U75" s="5" t="s">
        <v>320</v>
      </c>
      <c r="V75" s="5" t="s">
        <v>321</v>
      </c>
      <c r="W75" s="5" t="s">
        <v>322</v>
      </c>
      <c r="X75" s="5" t="s">
        <v>240</v>
      </c>
      <c r="Y75" s="5" t="s">
        <v>323</v>
      </c>
      <c r="Z75" s="5"/>
      <c r="AA75" s="5"/>
      <c r="AB75" s="5"/>
      <c r="AC75" s="5"/>
      <c r="AD75" s="5" t="s">
        <v>324</v>
      </c>
      <c r="AE75" s="5"/>
      <c r="AF75" s="5"/>
      <c r="AG75" s="5"/>
      <c r="AH75" s="5"/>
      <c r="AI75" s="5"/>
    </row>
    <row r="76" spans="1:35" ht="40.5">
      <c r="A76" s="5" t="s">
        <v>35</v>
      </c>
      <c r="B76" s="5" t="s">
        <v>325</v>
      </c>
      <c r="C76" s="5" t="s">
        <v>325</v>
      </c>
      <c r="D76" s="2" t="s">
        <v>312</v>
      </c>
      <c r="E76" s="5" t="s">
        <v>325</v>
      </c>
      <c r="F76" s="2" t="s">
        <v>313</v>
      </c>
      <c r="G76" s="5"/>
      <c r="H76" s="2" t="s">
        <v>314</v>
      </c>
      <c r="I76" s="35" t="s">
        <v>49</v>
      </c>
      <c r="J76" s="35" t="s">
        <v>49</v>
      </c>
      <c r="K76" s="2" t="s">
        <v>50</v>
      </c>
      <c r="L76" s="7" t="s">
        <v>326</v>
      </c>
      <c r="M76" s="5"/>
      <c r="N76" s="18"/>
      <c r="O76" s="5"/>
      <c r="P76" s="5"/>
      <c r="Q76" s="5"/>
      <c r="R76" s="5"/>
      <c r="S76" s="5"/>
      <c r="T76" s="47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1:35" ht="27">
      <c r="A77" s="1" t="s">
        <v>35</v>
      </c>
      <c r="B77" s="5" t="s">
        <v>327</v>
      </c>
      <c r="C77" s="5" t="s">
        <v>327</v>
      </c>
      <c r="D77" s="7" t="s">
        <v>328</v>
      </c>
      <c r="E77" s="5" t="s">
        <v>327</v>
      </c>
      <c r="F77" s="7" t="s">
        <v>329</v>
      </c>
      <c r="G77" s="5"/>
      <c r="H77" s="7" t="s">
        <v>330</v>
      </c>
      <c r="I77" s="7"/>
      <c r="J77" s="7"/>
      <c r="K77" s="7" t="s">
        <v>331</v>
      </c>
      <c r="L77" s="7" t="s">
        <v>332</v>
      </c>
      <c r="M77" s="5"/>
      <c r="N77" s="5"/>
      <c r="O77" s="5"/>
      <c r="P77" s="5"/>
      <c r="Q77" s="5"/>
      <c r="R77" s="5"/>
      <c r="S77" s="5"/>
      <c r="T77" s="47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5" ht="13.5">
      <c r="A78" s="5" t="s">
        <v>35</v>
      </c>
      <c r="B78" s="5" t="s">
        <v>333</v>
      </c>
      <c r="C78" s="5" t="s">
        <v>333</v>
      </c>
      <c r="D78" s="7" t="s">
        <v>328</v>
      </c>
      <c r="E78" s="5" t="s">
        <v>333</v>
      </c>
      <c r="F78" s="7" t="s">
        <v>329</v>
      </c>
      <c r="G78" s="5"/>
      <c r="H78" s="7" t="s">
        <v>330</v>
      </c>
      <c r="I78" s="7"/>
      <c r="J78" s="7"/>
      <c r="K78" s="7" t="s">
        <v>331</v>
      </c>
      <c r="L78" s="7" t="s">
        <v>334</v>
      </c>
      <c r="M78" s="5"/>
      <c r="N78" s="5"/>
      <c r="O78" s="5"/>
      <c r="P78" s="5"/>
      <c r="Q78" s="5"/>
      <c r="R78" s="5"/>
      <c r="S78" s="5"/>
      <c r="T78" s="47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1:35" ht="13.5">
      <c r="A79" s="5" t="s">
        <v>35</v>
      </c>
      <c r="B79" s="5" t="s">
        <v>335</v>
      </c>
      <c r="C79" s="5" t="s">
        <v>335</v>
      </c>
      <c r="D79" s="7" t="s">
        <v>328</v>
      </c>
      <c r="E79" s="5" t="s">
        <v>335</v>
      </c>
      <c r="F79" s="7" t="s">
        <v>329</v>
      </c>
      <c r="G79" s="5"/>
      <c r="H79" s="7" t="s">
        <v>330</v>
      </c>
      <c r="I79" s="7"/>
      <c r="J79" s="7"/>
      <c r="K79" s="7" t="s">
        <v>331</v>
      </c>
      <c r="L79" s="7" t="s">
        <v>336</v>
      </c>
      <c r="M79" s="5"/>
      <c r="N79" s="5"/>
      <c r="O79" s="5"/>
      <c r="P79" s="5"/>
      <c r="Q79" s="5"/>
      <c r="R79" s="5"/>
      <c r="S79" s="5"/>
      <c r="T79" s="47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5" ht="13.5">
      <c r="A80" s="5" t="s">
        <v>35</v>
      </c>
      <c r="B80" s="5" t="s">
        <v>337</v>
      </c>
      <c r="C80" s="5" t="s">
        <v>337</v>
      </c>
      <c r="D80" s="7" t="s">
        <v>328</v>
      </c>
      <c r="E80" s="5" t="s">
        <v>337</v>
      </c>
      <c r="F80" s="7" t="s">
        <v>329</v>
      </c>
      <c r="G80" s="5"/>
      <c r="H80" s="7" t="s">
        <v>330</v>
      </c>
      <c r="I80" s="7"/>
      <c r="J80" s="7"/>
      <c r="K80" s="7" t="s">
        <v>331</v>
      </c>
      <c r="L80" s="7" t="s">
        <v>338</v>
      </c>
      <c r="M80" s="5"/>
      <c r="N80" s="5"/>
      <c r="O80" s="5"/>
      <c r="P80" s="5"/>
      <c r="Q80" s="5"/>
      <c r="R80" s="5"/>
      <c r="S80" s="5"/>
      <c r="T80" s="47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spans="1:35" ht="13.5">
      <c r="A81" s="5" t="s">
        <v>35</v>
      </c>
      <c r="B81" s="5" t="s">
        <v>339</v>
      </c>
      <c r="C81" s="5" t="s">
        <v>339</v>
      </c>
      <c r="D81" s="7" t="s">
        <v>340</v>
      </c>
      <c r="E81" s="5" t="s">
        <v>339</v>
      </c>
      <c r="F81" s="7" t="s">
        <v>329</v>
      </c>
      <c r="G81" s="5"/>
      <c r="H81" s="7" t="s">
        <v>341</v>
      </c>
      <c r="I81" s="7"/>
      <c r="J81" s="7"/>
      <c r="K81" s="7" t="s">
        <v>331</v>
      </c>
      <c r="L81" s="18" t="s">
        <v>51</v>
      </c>
      <c r="M81" s="5"/>
      <c r="N81" s="5"/>
      <c r="O81" s="5"/>
      <c r="P81" s="5"/>
      <c r="Q81" s="5"/>
      <c r="R81" s="5"/>
      <c r="S81" s="5"/>
      <c r="T81" s="47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ht="13.5">
      <c r="A82" s="5" t="s">
        <v>35</v>
      </c>
      <c r="B82" s="5" t="s">
        <v>342</v>
      </c>
      <c r="C82" s="5" t="s">
        <v>342</v>
      </c>
      <c r="D82" s="7" t="s">
        <v>340</v>
      </c>
      <c r="E82" s="5" t="s">
        <v>342</v>
      </c>
      <c r="F82" s="7" t="s">
        <v>329</v>
      </c>
      <c r="G82" s="5"/>
      <c r="H82" s="7" t="s">
        <v>341</v>
      </c>
      <c r="I82" s="7"/>
      <c r="J82" s="7"/>
      <c r="K82" s="7" t="s">
        <v>331</v>
      </c>
      <c r="L82" s="7" t="s">
        <v>338</v>
      </c>
      <c r="M82" s="5"/>
      <c r="N82" s="5"/>
      <c r="O82" s="5"/>
      <c r="P82" s="5"/>
      <c r="Q82" s="5"/>
      <c r="R82" s="5"/>
      <c r="S82" s="5"/>
      <c r="T82" s="47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 ht="40.5">
      <c r="A83" s="5" t="s">
        <v>35</v>
      </c>
      <c r="B83" s="5" t="s">
        <v>343</v>
      </c>
      <c r="C83" s="5" t="s">
        <v>343</v>
      </c>
      <c r="D83" s="7" t="s">
        <v>340</v>
      </c>
      <c r="E83" s="5" t="s">
        <v>343</v>
      </c>
      <c r="F83" s="7" t="s">
        <v>329</v>
      </c>
      <c r="G83" s="5"/>
      <c r="H83" s="7" t="s">
        <v>341</v>
      </c>
      <c r="I83" s="7"/>
      <c r="J83" s="7"/>
      <c r="K83" s="7" t="s">
        <v>331</v>
      </c>
      <c r="L83" s="4" t="s">
        <v>166</v>
      </c>
      <c r="M83" s="5"/>
      <c r="N83" s="5"/>
      <c r="O83" s="5"/>
      <c r="P83" s="5"/>
      <c r="Q83" s="5"/>
      <c r="R83" s="5"/>
      <c r="S83" s="5"/>
      <c r="T83" s="47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1:35" ht="13.5">
      <c r="A84" s="5" t="s">
        <v>35</v>
      </c>
      <c r="B84" s="5" t="s">
        <v>344</v>
      </c>
      <c r="C84" s="5" t="s">
        <v>344</v>
      </c>
      <c r="D84" s="7" t="s">
        <v>340</v>
      </c>
      <c r="E84" s="5" t="s">
        <v>344</v>
      </c>
      <c r="F84" s="7" t="s">
        <v>329</v>
      </c>
      <c r="G84" s="5"/>
      <c r="H84" s="7" t="s">
        <v>341</v>
      </c>
      <c r="I84" s="7"/>
      <c r="J84" s="7"/>
      <c r="K84" s="7" t="s">
        <v>331</v>
      </c>
      <c r="L84" s="7" t="s">
        <v>345</v>
      </c>
      <c r="M84" s="5"/>
      <c r="N84" s="5"/>
      <c r="O84" s="5"/>
      <c r="P84" s="5"/>
      <c r="Q84" s="5"/>
      <c r="R84" s="5"/>
      <c r="S84" s="5"/>
      <c r="T84" s="47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1:35" ht="13.5">
      <c r="A85" s="1" t="s">
        <v>35</v>
      </c>
      <c r="B85" s="5" t="s">
        <v>346</v>
      </c>
      <c r="C85" s="5" t="s">
        <v>346</v>
      </c>
      <c r="D85" s="7" t="s">
        <v>328</v>
      </c>
      <c r="E85" s="5" t="s">
        <v>346</v>
      </c>
      <c r="F85" s="7" t="s">
        <v>329</v>
      </c>
      <c r="G85" s="5"/>
      <c r="H85" s="7" t="s">
        <v>347</v>
      </c>
      <c r="I85" s="7"/>
      <c r="J85" s="7"/>
      <c r="K85" s="7" t="s">
        <v>331</v>
      </c>
      <c r="L85" s="7" t="s">
        <v>348</v>
      </c>
      <c r="M85" s="5"/>
      <c r="N85" s="5"/>
      <c r="O85" s="5"/>
      <c r="P85" s="5"/>
      <c r="Q85" s="5"/>
      <c r="R85" s="5"/>
      <c r="S85" s="5"/>
      <c r="T85" s="47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1:35" ht="13.5">
      <c r="A86" s="5" t="s">
        <v>35</v>
      </c>
      <c r="B86" s="5" t="s">
        <v>349</v>
      </c>
      <c r="C86" s="5" t="s">
        <v>349</v>
      </c>
      <c r="D86" s="7" t="s">
        <v>328</v>
      </c>
      <c r="E86" s="5" t="s">
        <v>349</v>
      </c>
      <c r="F86" s="7" t="s">
        <v>329</v>
      </c>
      <c r="G86" s="5"/>
      <c r="H86" s="7" t="s">
        <v>347</v>
      </c>
      <c r="I86" s="7"/>
      <c r="J86" s="7"/>
      <c r="K86" s="7" t="s">
        <v>331</v>
      </c>
      <c r="L86" s="7" t="s">
        <v>350</v>
      </c>
      <c r="M86" s="5"/>
      <c r="N86" s="5"/>
      <c r="O86" s="5"/>
      <c r="P86" s="5"/>
      <c r="Q86" s="5"/>
      <c r="R86" s="5"/>
      <c r="S86" s="5"/>
      <c r="T86" s="47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1:35" ht="13.5">
      <c r="A87" s="5" t="s">
        <v>35</v>
      </c>
      <c r="B87" s="5" t="s">
        <v>351</v>
      </c>
      <c r="C87" s="5" t="s">
        <v>351</v>
      </c>
      <c r="D87" s="7" t="s">
        <v>328</v>
      </c>
      <c r="E87" s="5" t="s">
        <v>351</v>
      </c>
      <c r="F87" s="7" t="s">
        <v>329</v>
      </c>
      <c r="G87" s="5"/>
      <c r="H87" s="7" t="s">
        <v>347</v>
      </c>
      <c r="I87" s="7"/>
      <c r="J87" s="7"/>
      <c r="K87" s="7" t="s">
        <v>331</v>
      </c>
      <c r="L87" s="7" t="s">
        <v>352</v>
      </c>
      <c r="M87" s="5"/>
      <c r="N87" s="5"/>
      <c r="O87" s="5"/>
      <c r="P87" s="5"/>
      <c r="Q87" s="5"/>
      <c r="R87" s="5"/>
      <c r="S87" s="5"/>
      <c r="T87" s="47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1:35" ht="13.5">
      <c r="A88" s="5" t="s">
        <v>35</v>
      </c>
      <c r="B88" s="5" t="s">
        <v>353</v>
      </c>
      <c r="C88" s="5" t="s">
        <v>353</v>
      </c>
      <c r="D88" s="7" t="s">
        <v>328</v>
      </c>
      <c r="E88" s="5" t="s">
        <v>353</v>
      </c>
      <c r="F88" s="7" t="s">
        <v>329</v>
      </c>
      <c r="G88" s="5"/>
      <c r="H88" s="7" t="s">
        <v>347</v>
      </c>
      <c r="I88" s="7"/>
      <c r="J88" s="7"/>
      <c r="K88" s="7" t="s">
        <v>331</v>
      </c>
      <c r="L88" s="7" t="s">
        <v>354</v>
      </c>
      <c r="M88" s="5"/>
      <c r="N88" s="5"/>
      <c r="O88" s="5"/>
      <c r="P88" s="5"/>
      <c r="Q88" s="5"/>
      <c r="R88" s="5"/>
      <c r="S88" s="5"/>
      <c r="T88" s="47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1:35" ht="13.5">
      <c r="A89" s="5" t="s">
        <v>35</v>
      </c>
      <c r="B89" s="5" t="s">
        <v>355</v>
      </c>
      <c r="C89" s="5" t="s">
        <v>355</v>
      </c>
      <c r="D89" s="7" t="s">
        <v>356</v>
      </c>
      <c r="E89" s="5" t="s">
        <v>355</v>
      </c>
      <c r="F89" s="7" t="s">
        <v>329</v>
      </c>
      <c r="G89" s="5"/>
      <c r="H89" s="7" t="s">
        <v>357</v>
      </c>
      <c r="I89" s="7"/>
      <c r="J89" s="7"/>
      <c r="K89" s="7" t="s">
        <v>331</v>
      </c>
      <c r="L89" s="7" t="s">
        <v>345</v>
      </c>
      <c r="M89" s="5"/>
      <c r="N89" s="5"/>
      <c r="O89" s="5"/>
      <c r="P89" s="5"/>
      <c r="Q89" s="5"/>
      <c r="R89" s="5"/>
      <c r="S89" s="5"/>
      <c r="T89" s="47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1:35" ht="13.5">
      <c r="A90" s="5" t="s">
        <v>35</v>
      </c>
      <c r="B90" s="5" t="s">
        <v>358</v>
      </c>
      <c r="C90" s="5" t="s">
        <v>358</v>
      </c>
      <c r="D90" s="7" t="s">
        <v>356</v>
      </c>
      <c r="E90" s="5" t="s">
        <v>358</v>
      </c>
      <c r="F90" s="7" t="s">
        <v>329</v>
      </c>
      <c r="G90" s="5"/>
      <c r="H90" s="7" t="s">
        <v>357</v>
      </c>
      <c r="I90" s="7"/>
      <c r="J90" s="7"/>
      <c r="K90" s="7" t="s">
        <v>331</v>
      </c>
      <c r="L90" s="7" t="s">
        <v>354</v>
      </c>
      <c r="M90" s="5"/>
      <c r="N90" s="5"/>
      <c r="O90" s="5"/>
      <c r="P90" s="5"/>
      <c r="Q90" s="5"/>
      <c r="R90" s="5"/>
      <c r="S90" s="5"/>
      <c r="T90" s="47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1:35" ht="13.5">
      <c r="A91" s="5" t="s">
        <v>35</v>
      </c>
      <c r="B91" s="5" t="s">
        <v>359</v>
      </c>
      <c r="C91" s="5" t="s">
        <v>359</v>
      </c>
      <c r="D91" s="7" t="s">
        <v>356</v>
      </c>
      <c r="E91" s="5" t="s">
        <v>359</v>
      </c>
      <c r="F91" s="7" t="s">
        <v>329</v>
      </c>
      <c r="G91" s="5"/>
      <c r="H91" s="7" t="s">
        <v>357</v>
      </c>
      <c r="I91" s="7"/>
      <c r="J91" s="7"/>
      <c r="K91" s="7" t="s">
        <v>331</v>
      </c>
      <c r="L91" s="7" t="s">
        <v>360</v>
      </c>
      <c r="M91" s="5"/>
      <c r="N91" s="5"/>
      <c r="O91" s="5"/>
      <c r="P91" s="5"/>
      <c r="Q91" s="5"/>
      <c r="R91" s="5"/>
      <c r="S91" s="5"/>
      <c r="T91" s="47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1:35" ht="27">
      <c r="A92" s="5" t="s">
        <v>35</v>
      </c>
      <c r="B92" s="5" t="s">
        <v>361</v>
      </c>
      <c r="C92" s="5" t="s">
        <v>361</v>
      </c>
      <c r="D92" s="7" t="s">
        <v>356</v>
      </c>
      <c r="E92" s="5" t="s">
        <v>361</v>
      </c>
      <c r="F92" s="7" t="s">
        <v>329</v>
      </c>
      <c r="G92" s="5"/>
      <c r="H92" s="7" t="s">
        <v>357</v>
      </c>
      <c r="I92" s="7"/>
      <c r="J92" s="7"/>
      <c r="K92" s="7" t="s">
        <v>331</v>
      </c>
      <c r="L92" s="7" t="s">
        <v>362</v>
      </c>
      <c r="M92" s="5"/>
      <c r="N92" s="5"/>
      <c r="O92" s="5"/>
      <c r="P92" s="5"/>
      <c r="Q92" s="5"/>
      <c r="R92" s="5"/>
      <c r="S92" s="5"/>
      <c r="T92" s="47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1:35" ht="13.5">
      <c r="A93" s="1" t="s">
        <v>35</v>
      </c>
      <c r="B93" s="5" t="s">
        <v>363</v>
      </c>
      <c r="C93" s="5" t="s">
        <v>363</v>
      </c>
      <c r="D93" s="7" t="s">
        <v>356</v>
      </c>
      <c r="E93" s="5" t="s">
        <v>363</v>
      </c>
      <c r="F93" s="7" t="s">
        <v>329</v>
      </c>
      <c r="G93" s="5"/>
      <c r="H93" s="7" t="s">
        <v>357</v>
      </c>
      <c r="I93" s="7"/>
      <c r="J93" s="7"/>
      <c r="K93" s="7" t="s">
        <v>331</v>
      </c>
      <c r="L93" s="7" t="s">
        <v>364</v>
      </c>
      <c r="M93" s="5"/>
      <c r="N93" s="5"/>
      <c r="O93" s="5"/>
      <c r="P93" s="5"/>
      <c r="Q93" s="5"/>
      <c r="R93" s="5"/>
      <c r="S93" s="5"/>
      <c r="T93" s="47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spans="1:35" ht="13.5">
      <c r="A94" s="5" t="s">
        <v>35</v>
      </c>
      <c r="B94" s="5" t="s">
        <v>365</v>
      </c>
      <c r="C94" s="5" t="s">
        <v>365</v>
      </c>
      <c r="D94" s="7" t="s">
        <v>356</v>
      </c>
      <c r="E94" s="5" t="s">
        <v>365</v>
      </c>
      <c r="F94" s="7" t="s">
        <v>329</v>
      </c>
      <c r="G94" s="5"/>
      <c r="H94" s="7" t="s">
        <v>366</v>
      </c>
      <c r="I94" s="7"/>
      <c r="J94" s="7"/>
      <c r="K94" s="7" t="s">
        <v>331</v>
      </c>
      <c r="L94" s="7" t="s">
        <v>367</v>
      </c>
      <c r="M94" s="5"/>
      <c r="N94" s="5"/>
      <c r="O94" s="5"/>
      <c r="P94" s="5"/>
      <c r="Q94" s="5"/>
      <c r="R94" s="5"/>
      <c r="S94" s="5"/>
      <c r="T94" s="47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1:35" ht="13.5">
      <c r="A95" s="5" t="s">
        <v>35</v>
      </c>
      <c r="B95" s="5" t="s">
        <v>368</v>
      </c>
      <c r="C95" s="5" t="s">
        <v>368</v>
      </c>
      <c r="D95" s="7" t="s">
        <v>356</v>
      </c>
      <c r="E95" s="5" t="s">
        <v>368</v>
      </c>
      <c r="F95" s="7" t="s">
        <v>329</v>
      </c>
      <c r="G95" s="5"/>
      <c r="H95" s="7" t="s">
        <v>366</v>
      </c>
      <c r="I95" s="7"/>
      <c r="J95" s="7"/>
      <c r="K95" s="7" t="s">
        <v>331</v>
      </c>
      <c r="L95" s="7" t="s">
        <v>369</v>
      </c>
      <c r="M95" s="5"/>
      <c r="N95" s="5"/>
      <c r="O95" s="5"/>
      <c r="P95" s="5"/>
      <c r="Q95" s="5"/>
      <c r="R95" s="5"/>
      <c r="S95" s="5"/>
      <c r="T95" s="47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1:35" ht="13.5">
      <c r="A96" s="5" t="s">
        <v>35</v>
      </c>
      <c r="B96" s="5" t="s">
        <v>370</v>
      </c>
      <c r="C96" s="5" t="s">
        <v>370</v>
      </c>
      <c r="D96" s="7" t="s">
        <v>356</v>
      </c>
      <c r="E96" s="5" t="s">
        <v>370</v>
      </c>
      <c r="F96" s="7" t="s">
        <v>329</v>
      </c>
      <c r="G96" s="5"/>
      <c r="H96" s="7" t="s">
        <v>366</v>
      </c>
      <c r="I96" s="7"/>
      <c r="J96" s="7"/>
      <c r="K96" s="7" t="s">
        <v>331</v>
      </c>
      <c r="L96" s="7" t="s">
        <v>51</v>
      </c>
      <c r="M96" s="5"/>
      <c r="N96" s="5"/>
      <c r="O96" s="5"/>
      <c r="P96" s="5"/>
      <c r="Q96" s="5"/>
      <c r="R96" s="5"/>
      <c r="S96" s="5"/>
      <c r="T96" s="47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spans="1:35" ht="13.5">
      <c r="A97" s="5" t="s">
        <v>35</v>
      </c>
      <c r="B97" s="5" t="s">
        <v>371</v>
      </c>
      <c r="C97" s="5" t="s">
        <v>371</v>
      </c>
      <c r="D97" s="7" t="s">
        <v>356</v>
      </c>
      <c r="E97" s="5" t="s">
        <v>371</v>
      </c>
      <c r="F97" s="7" t="s">
        <v>329</v>
      </c>
      <c r="G97" s="5"/>
      <c r="H97" s="7" t="s">
        <v>366</v>
      </c>
      <c r="I97" s="7"/>
      <c r="J97" s="7"/>
      <c r="K97" s="7" t="s">
        <v>331</v>
      </c>
      <c r="L97" s="7" t="s">
        <v>70</v>
      </c>
      <c r="M97" s="5"/>
      <c r="N97" s="5"/>
      <c r="O97" s="5"/>
      <c r="P97" s="5"/>
      <c r="Q97" s="5"/>
      <c r="R97" s="5"/>
      <c r="S97" s="5"/>
      <c r="T97" s="47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spans="1:35" ht="27">
      <c r="A98" s="5" t="s">
        <v>35</v>
      </c>
      <c r="B98" s="5" t="s">
        <v>372</v>
      </c>
      <c r="C98" s="5" t="s">
        <v>372</v>
      </c>
      <c r="D98" s="7" t="s">
        <v>373</v>
      </c>
      <c r="E98" s="5" t="s">
        <v>372</v>
      </c>
      <c r="F98" s="7" t="s">
        <v>329</v>
      </c>
      <c r="G98" s="5"/>
      <c r="H98" s="7" t="s">
        <v>374</v>
      </c>
      <c r="I98" s="7"/>
      <c r="J98" s="7"/>
      <c r="K98" s="7" t="s">
        <v>331</v>
      </c>
      <c r="L98" s="29" t="s">
        <v>375</v>
      </c>
      <c r="M98" s="5" t="s">
        <v>93</v>
      </c>
      <c r="N98" s="5" t="s">
        <v>376</v>
      </c>
      <c r="O98" s="5" t="s">
        <v>284</v>
      </c>
      <c r="P98" s="5" t="s">
        <v>377</v>
      </c>
      <c r="Q98" s="5" t="s">
        <v>96</v>
      </c>
      <c r="R98" s="5" t="s">
        <v>378</v>
      </c>
      <c r="S98" s="5" t="s">
        <v>379</v>
      </c>
      <c r="T98" s="47" t="s">
        <v>380</v>
      </c>
      <c r="U98" s="5" t="s">
        <v>381</v>
      </c>
      <c r="V98" s="5" t="s">
        <v>382</v>
      </c>
      <c r="W98" s="5" t="s">
        <v>383</v>
      </c>
      <c r="X98" s="18">
        <v>13.3</v>
      </c>
      <c r="Y98" s="5" t="s">
        <v>384</v>
      </c>
      <c r="Z98" s="5"/>
      <c r="AA98" s="5"/>
      <c r="AB98" s="5"/>
      <c r="AC98" s="5"/>
      <c r="AD98" s="5" t="s">
        <v>385</v>
      </c>
      <c r="AE98" s="5"/>
      <c r="AF98" s="5"/>
      <c r="AG98" s="5"/>
      <c r="AH98" s="5"/>
      <c r="AI98" s="5"/>
    </row>
    <row r="99" spans="1:35" ht="13.5">
      <c r="A99" s="5"/>
      <c r="B99" s="5"/>
      <c r="C99" s="5"/>
      <c r="D99" s="7"/>
      <c r="E99" s="5"/>
      <c r="F99" s="7"/>
      <c r="G99" s="5"/>
      <c r="H99" s="7"/>
      <c r="I99" s="7"/>
      <c r="J99" s="7"/>
      <c r="K99" s="7"/>
      <c r="L99" s="29" t="s">
        <v>386</v>
      </c>
      <c r="M99" s="5" t="s">
        <v>93</v>
      </c>
      <c r="N99" s="28">
        <f>52.9/(100-4.9)</f>
        <v>0.55625657202944268</v>
      </c>
      <c r="O99" s="5" t="s">
        <v>387</v>
      </c>
      <c r="P99" s="5" t="s">
        <v>388</v>
      </c>
      <c r="Q99" s="5" t="s">
        <v>96</v>
      </c>
      <c r="R99" s="5" t="s">
        <v>287</v>
      </c>
      <c r="S99" s="5" t="s">
        <v>389</v>
      </c>
      <c r="T99" s="47" t="s">
        <v>390</v>
      </c>
      <c r="U99" s="5" t="s">
        <v>391</v>
      </c>
      <c r="V99" s="5" t="s">
        <v>392</v>
      </c>
      <c r="W99" s="5" t="s">
        <v>393</v>
      </c>
      <c r="X99" s="18">
        <v>3.6</v>
      </c>
      <c r="Y99" s="5" t="s">
        <v>394</v>
      </c>
      <c r="Z99" s="5"/>
      <c r="AA99" s="5"/>
      <c r="AB99" s="5"/>
      <c r="AC99" s="5"/>
      <c r="AD99" s="5" t="s">
        <v>395</v>
      </c>
      <c r="AE99" s="5"/>
      <c r="AF99" s="5"/>
      <c r="AG99" s="5"/>
      <c r="AH99" s="5"/>
      <c r="AI99" s="5"/>
    </row>
    <row r="100" spans="1:35" ht="13.5">
      <c r="A100" s="5"/>
      <c r="B100" s="5"/>
      <c r="C100" s="5"/>
      <c r="D100" s="7"/>
      <c r="E100" s="5"/>
      <c r="F100" s="7"/>
      <c r="G100" s="5"/>
      <c r="H100" s="7"/>
      <c r="I100" s="7"/>
      <c r="J100" s="7"/>
      <c r="K100" s="7"/>
      <c r="L100" s="29" t="s">
        <v>396</v>
      </c>
      <c r="M100" s="5" t="s">
        <v>93</v>
      </c>
      <c r="N100" s="32">
        <f>53/(100-4.6)</f>
        <v>0.55555555555555547</v>
      </c>
      <c r="O100" s="5" t="s">
        <v>189</v>
      </c>
      <c r="P100" s="5" t="s">
        <v>397</v>
      </c>
      <c r="Q100" s="5" t="s">
        <v>96</v>
      </c>
      <c r="R100" s="5" t="s">
        <v>398</v>
      </c>
      <c r="S100" s="5" t="s">
        <v>399</v>
      </c>
      <c r="T100" s="47" t="s">
        <v>400</v>
      </c>
      <c r="U100" s="5" t="s">
        <v>401</v>
      </c>
      <c r="V100" s="5" t="s">
        <v>402</v>
      </c>
      <c r="W100" s="5" t="s">
        <v>403</v>
      </c>
      <c r="X100" s="18">
        <v>6.9</v>
      </c>
      <c r="Y100" s="5" t="s">
        <v>404</v>
      </c>
      <c r="Z100" s="5"/>
      <c r="AA100" s="5"/>
      <c r="AB100" s="5"/>
      <c r="AC100" s="5"/>
      <c r="AD100" s="5" t="s">
        <v>405</v>
      </c>
      <c r="AE100" s="5"/>
      <c r="AF100" s="5"/>
      <c r="AG100" s="5"/>
      <c r="AH100" s="5"/>
      <c r="AI100" s="5"/>
    </row>
    <row r="101" spans="1:35" ht="13.5">
      <c r="A101" s="5"/>
      <c r="B101" s="5"/>
      <c r="C101" s="5"/>
      <c r="D101" s="7"/>
      <c r="E101" s="5"/>
      <c r="F101" s="7"/>
      <c r="G101" s="5"/>
      <c r="H101" s="7"/>
      <c r="I101" s="7"/>
      <c r="J101" s="7"/>
      <c r="K101" s="7"/>
      <c r="L101" s="29" t="s">
        <v>406</v>
      </c>
      <c r="M101" s="5" t="s">
        <v>93</v>
      </c>
      <c r="N101" s="5" t="s">
        <v>407</v>
      </c>
      <c r="O101" s="18">
        <v>0.42</v>
      </c>
      <c r="P101" s="5" t="s">
        <v>408</v>
      </c>
      <c r="Q101" s="5" t="s">
        <v>96</v>
      </c>
      <c r="R101" s="5" t="s">
        <v>409</v>
      </c>
      <c r="S101" s="5" t="s">
        <v>410</v>
      </c>
      <c r="T101" s="47" t="s">
        <v>411</v>
      </c>
      <c r="U101" s="5" t="s">
        <v>412</v>
      </c>
      <c r="V101" s="5" t="s">
        <v>413</v>
      </c>
      <c r="W101" s="5" t="s">
        <v>414</v>
      </c>
      <c r="X101" s="18">
        <v>7.1</v>
      </c>
      <c r="Y101" s="5" t="s">
        <v>415</v>
      </c>
      <c r="Z101" s="5"/>
      <c r="AA101" s="5"/>
      <c r="AB101" s="5"/>
      <c r="AC101" s="5"/>
      <c r="AD101" s="5" t="s">
        <v>416</v>
      </c>
      <c r="AE101" s="5"/>
      <c r="AF101" s="5"/>
      <c r="AG101" s="5"/>
      <c r="AH101" s="5"/>
      <c r="AI101" s="5"/>
    </row>
    <row r="102" spans="1:35" s="46" customFormat="1" ht="27">
      <c r="A102" s="42"/>
      <c r="B102" s="42"/>
      <c r="C102" s="42"/>
      <c r="D102" s="43"/>
      <c r="E102" s="42"/>
      <c r="F102" s="43"/>
      <c r="G102" s="42"/>
      <c r="H102" s="43"/>
      <c r="I102" s="43"/>
      <c r="J102" s="43"/>
      <c r="K102" s="43"/>
      <c r="L102" s="43" t="s">
        <v>417</v>
      </c>
      <c r="M102" s="42" t="s">
        <v>93</v>
      </c>
      <c r="N102" s="42" t="s">
        <v>418</v>
      </c>
      <c r="O102" s="44">
        <v>0.44</v>
      </c>
      <c r="P102" s="42" t="s">
        <v>419</v>
      </c>
      <c r="Q102" s="42" t="s">
        <v>96</v>
      </c>
      <c r="R102" s="42" t="s">
        <v>378</v>
      </c>
      <c r="S102" s="42" t="s">
        <v>420</v>
      </c>
      <c r="T102" s="47" t="s">
        <v>421</v>
      </c>
      <c r="U102" s="42" t="s">
        <v>422</v>
      </c>
      <c r="V102" s="42" t="s">
        <v>423</v>
      </c>
      <c r="W102" s="42" t="s">
        <v>102</v>
      </c>
      <c r="X102" s="44">
        <v>26.9</v>
      </c>
      <c r="Y102" s="42" t="s">
        <v>424</v>
      </c>
      <c r="Z102" s="45" t="s">
        <v>425</v>
      </c>
      <c r="AA102" s="45" t="s">
        <v>426</v>
      </c>
      <c r="AB102" s="42" t="s">
        <v>427</v>
      </c>
      <c r="AC102" s="45">
        <f>Z102/1</f>
        <v>7200</v>
      </c>
      <c r="AD102" s="42" t="s">
        <v>428</v>
      </c>
      <c r="AE102" s="42" t="s">
        <v>378</v>
      </c>
      <c r="AF102" s="42"/>
      <c r="AG102" s="42"/>
      <c r="AH102" s="42"/>
      <c r="AI102" s="42"/>
    </row>
    <row r="103" spans="1:35" ht="39.75" customHeight="1">
      <c r="A103" s="5"/>
      <c r="B103" s="5"/>
      <c r="C103" s="5"/>
      <c r="D103" s="7" t="s">
        <v>373</v>
      </c>
      <c r="E103" s="5" t="s">
        <v>372</v>
      </c>
      <c r="F103" s="7"/>
      <c r="G103" s="5"/>
      <c r="H103" s="7"/>
      <c r="I103" s="7"/>
      <c r="J103" s="7"/>
      <c r="K103" s="7"/>
      <c r="L103" s="11" t="s">
        <v>429</v>
      </c>
      <c r="M103" s="5" t="s">
        <v>93</v>
      </c>
      <c r="N103" s="5" t="s">
        <v>430</v>
      </c>
      <c r="O103" s="18">
        <v>0.42499999999999999</v>
      </c>
      <c r="P103" s="5" t="s">
        <v>431</v>
      </c>
      <c r="Q103" s="5" t="s">
        <v>96</v>
      </c>
      <c r="R103" s="5" t="s">
        <v>287</v>
      </c>
      <c r="S103" s="5" t="s">
        <v>432</v>
      </c>
      <c r="T103" s="47" t="s">
        <v>433</v>
      </c>
      <c r="U103" s="5" t="s">
        <v>434</v>
      </c>
      <c r="V103" s="5" t="s">
        <v>435</v>
      </c>
      <c r="W103" s="5" t="s">
        <v>322</v>
      </c>
      <c r="X103" s="18">
        <v>7.2</v>
      </c>
      <c r="Y103" s="5" t="s">
        <v>436</v>
      </c>
      <c r="Z103" s="41" t="s">
        <v>437</v>
      </c>
      <c r="AA103" s="41" t="s">
        <v>438</v>
      </c>
      <c r="AB103" s="5"/>
      <c r="AC103" s="41">
        <f>Z103/4</f>
        <v>5629.5</v>
      </c>
      <c r="AD103" s="5" t="s">
        <v>439</v>
      </c>
      <c r="AE103" s="5" t="s">
        <v>440</v>
      </c>
      <c r="AF103" s="5"/>
      <c r="AG103" s="5"/>
      <c r="AH103" s="5"/>
      <c r="AI103" s="5"/>
    </row>
    <row r="104" spans="1:35" ht="13.5">
      <c r="A104" s="5"/>
      <c r="B104" s="5"/>
      <c r="C104" s="5"/>
      <c r="D104" s="7"/>
      <c r="E104" s="5"/>
      <c r="F104" s="7"/>
      <c r="G104" s="5"/>
      <c r="H104" s="7"/>
      <c r="I104" s="7"/>
      <c r="J104" s="7"/>
      <c r="K104" s="7"/>
      <c r="L104" s="11" t="s">
        <v>396</v>
      </c>
      <c r="M104" s="5"/>
      <c r="N104" s="5"/>
      <c r="O104" s="18"/>
      <c r="P104" s="5"/>
      <c r="Q104" s="5"/>
      <c r="R104" s="5"/>
      <c r="S104" s="5"/>
      <c r="T104" s="47"/>
      <c r="U104" s="5"/>
      <c r="V104" s="5"/>
      <c r="W104" s="5"/>
      <c r="X104" s="18"/>
      <c r="Y104" s="5"/>
      <c r="Z104" s="41" t="s">
        <v>441</v>
      </c>
      <c r="AA104" s="41" t="s">
        <v>442</v>
      </c>
      <c r="AB104" s="5"/>
      <c r="AC104" s="41">
        <f>Z104/2</f>
        <v>6334.5</v>
      </c>
      <c r="AD104" s="5"/>
      <c r="AE104" s="5" t="s">
        <v>443</v>
      </c>
      <c r="AF104" s="5"/>
      <c r="AG104" s="5"/>
      <c r="AH104" s="5"/>
      <c r="AI104" s="5"/>
    </row>
    <row r="105" spans="1:35" ht="13.5">
      <c r="A105" s="5" t="s">
        <v>35</v>
      </c>
      <c r="B105" s="5" t="s">
        <v>444</v>
      </c>
      <c r="C105" s="5" t="s">
        <v>444</v>
      </c>
      <c r="D105" s="7" t="s">
        <v>373</v>
      </c>
      <c r="E105" s="5" t="s">
        <v>444</v>
      </c>
      <c r="F105" s="7" t="s">
        <v>329</v>
      </c>
      <c r="G105" s="5"/>
      <c r="H105" s="7" t="s">
        <v>374</v>
      </c>
      <c r="I105" s="7"/>
      <c r="J105" s="7"/>
      <c r="K105" s="7" t="s">
        <v>331</v>
      </c>
      <c r="L105" s="7" t="s">
        <v>445</v>
      </c>
      <c r="M105" s="5"/>
      <c r="N105" s="5"/>
      <c r="P105" s="5"/>
      <c r="Q105" s="5"/>
      <c r="R105" s="5"/>
      <c r="S105" s="5"/>
      <c r="T105" s="47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1:35" ht="27">
      <c r="A106" s="5" t="s">
        <v>35</v>
      </c>
      <c r="B106" s="5" t="s">
        <v>446</v>
      </c>
      <c r="C106" s="5" t="s">
        <v>446</v>
      </c>
      <c r="D106" s="7" t="s">
        <v>373</v>
      </c>
      <c r="E106" s="5" t="s">
        <v>446</v>
      </c>
      <c r="F106" s="7" t="s">
        <v>329</v>
      </c>
      <c r="G106" s="5"/>
      <c r="H106" s="7" t="s">
        <v>374</v>
      </c>
      <c r="I106" s="7"/>
      <c r="J106" s="7"/>
      <c r="K106" s="7" t="s">
        <v>331</v>
      </c>
      <c r="L106" s="29" t="s">
        <v>447</v>
      </c>
      <c r="M106" s="5" t="s">
        <v>93</v>
      </c>
      <c r="N106" s="5" t="s">
        <v>448</v>
      </c>
      <c r="O106" s="5" t="s">
        <v>189</v>
      </c>
      <c r="P106" s="5" t="s">
        <v>449</v>
      </c>
      <c r="Q106" s="5" t="s">
        <v>450</v>
      </c>
      <c r="R106" s="5" t="s">
        <v>451</v>
      </c>
      <c r="S106" s="5" t="s">
        <v>452</v>
      </c>
      <c r="T106" s="47" t="s">
        <v>453</v>
      </c>
      <c r="U106" s="5" t="s">
        <v>454</v>
      </c>
      <c r="V106" s="5" t="s">
        <v>455</v>
      </c>
      <c r="W106" s="5" t="s">
        <v>181</v>
      </c>
      <c r="X106" s="5" t="s">
        <v>456</v>
      </c>
      <c r="Y106" s="5" t="s">
        <v>457</v>
      </c>
      <c r="Z106" s="5"/>
      <c r="AA106" s="5"/>
      <c r="AB106" s="5"/>
      <c r="AC106" s="5"/>
      <c r="AD106" s="5" t="s">
        <v>385</v>
      </c>
      <c r="AE106" s="5"/>
      <c r="AF106" s="5"/>
      <c r="AG106" s="5"/>
      <c r="AH106" s="5"/>
      <c r="AI106" s="5"/>
    </row>
    <row r="107" spans="1:35" ht="13.5">
      <c r="A107" s="5"/>
      <c r="B107" s="5"/>
      <c r="C107" s="5"/>
      <c r="D107" s="7"/>
      <c r="E107" s="5"/>
      <c r="F107" s="7"/>
      <c r="G107" s="5"/>
      <c r="H107" s="7"/>
      <c r="I107" s="7"/>
      <c r="J107" s="7"/>
      <c r="K107" s="7"/>
      <c r="L107" s="29" t="s">
        <v>386</v>
      </c>
      <c r="M107" s="5" t="s">
        <v>93</v>
      </c>
      <c r="N107" s="31">
        <f>11.7/(100-0.8)</f>
        <v>0.11794354838709677</v>
      </c>
      <c r="O107" s="5" t="s">
        <v>458</v>
      </c>
      <c r="P107" s="5" t="s">
        <v>459</v>
      </c>
      <c r="Q107" s="5" t="s">
        <v>460</v>
      </c>
      <c r="R107" s="5" t="s">
        <v>287</v>
      </c>
      <c r="S107" s="5" t="s">
        <v>461</v>
      </c>
      <c r="T107" s="47" t="s">
        <v>462</v>
      </c>
      <c r="U107" s="5" t="s">
        <v>463</v>
      </c>
      <c r="V107" s="5" t="s">
        <v>464</v>
      </c>
      <c r="W107" s="5" t="s">
        <v>465</v>
      </c>
      <c r="X107" s="5" t="s">
        <v>466</v>
      </c>
      <c r="Y107" s="5" t="s">
        <v>467</v>
      </c>
      <c r="Z107" s="5"/>
      <c r="AA107" s="5"/>
      <c r="AB107" s="5"/>
      <c r="AC107" s="5"/>
      <c r="AD107" s="5" t="s">
        <v>468</v>
      </c>
      <c r="AE107" s="5"/>
      <c r="AF107" s="5"/>
      <c r="AG107" s="5"/>
      <c r="AH107" s="5"/>
      <c r="AI107" s="5"/>
    </row>
    <row r="108" spans="1:35" ht="27">
      <c r="A108" s="5"/>
      <c r="B108" s="5"/>
      <c r="C108" s="5"/>
      <c r="D108" s="7"/>
      <c r="E108" s="5"/>
      <c r="F108" s="7"/>
      <c r="G108" s="5"/>
      <c r="H108" s="7"/>
      <c r="I108" s="7"/>
      <c r="J108" s="7"/>
      <c r="K108" s="7"/>
      <c r="L108" s="29" t="s">
        <v>469</v>
      </c>
      <c r="M108" s="5" t="s">
        <v>93</v>
      </c>
      <c r="N108" s="5" t="s">
        <v>470</v>
      </c>
      <c r="O108" s="18">
        <v>0.5</v>
      </c>
      <c r="P108" s="5" t="s">
        <v>471</v>
      </c>
      <c r="Q108" s="5" t="s">
        <v>472</v>
      </c>
      <c r="R108" s="5" t="s">
        <v>287</v>
      </c>
      <c r="S108" s="5" t="s">
        <v>473</v>
      </c>
      <c r="T108" s="47" t="s">
        <v>474</v>
      </c>
      <c r="U108" s="18">
        <v>0.47199999999999998</v>
      </c>
      <c r="V108" s="5" t="s">
        <v>475</v>
      </c>
      <c r="W108" s="5" t="s">
        <v>476</v>
      </c>
      <c r="X108" s="5" t="s">
        <v>477</v>
      </c>
      <c r="Y108" s="5" t="s">
        <v>478</v>
      </c>
      <c r="Z108" s="5"/>
      <c r="AA108" s="5"/>
      <c r="AB108" s="5"/>
      <c r="AC108" s="5"/>
      <c r="AD108" s="5" t="s">
        <v>479</v>
      </c>
      <c r="AE108" s="5"/>
      <c r="AF108" s="5"/>
      <c r="AG108" s="5"/>
      <c r="AH108" s="5"/>
      <c r="AI108" s="5"/>
    </row>
    <row r="109" spans="1:35" ht="13.5">
      <c r="A109" s="5"/>
      <c r="B109" s="5"/>
      <c r="C109" s="5"/>
      <c r="D109" s="7"/>
      <c r="E109" s="5"/>
      <c r="F109" s="7"/>
      <c r="G109" s="5"/>
      <c r="H109" s="7"/>
      <c r="I109" s="7"/>
      <c r="J109" s="7"/>
      <c r="K109" s="7"/>
      <c r="L109" s="29" t="s">
        <v>396</v>
      </c>
      <c r="M109" s="5" t="s">
        <v>93</v>
      </c>
      <c r="N109" s="5" t="s">
        <v>480</v>
      </c>
      <c r="O109" s="5" t="s">
        <v>481</v>
      </c>
      <c r="P109" s="5" t="s">
        <v>482</v>
      </c>
      <c r="Q109" s="5" t="s">
        <v>483</v>
      </c>
      <c r="R109" s="5" t="s">
        <v>398</v>
      </c>
      <c r="S109" s="5" t="s">
        <v>484</v>
      </c>
      <c r="T109" s="47" t="s">
        <v>485</v>
      </c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1:35" ht="13.5">
      <c r="A110" s="5"/>
      <c r="B110" s="5"/>
      <c r="C110" s="5"/>
      <c r="D110" s="7"/>
      <c r="E110" s="5"/>
      <c r="F110" s="7"/>
      <c r="G110" s="5"/>
      <c r="H110" s="7"/>
      <c r="I110" s="7"/>
      <c r="J110" s="7"/>
      <c r="K110" s="7"/>
      <c r="L110" s="29" t="s">
        <v>406</v>
      </c>
      <c r="M110" s="5" t="s">
        <v>93</v>
      </c>
      <c r="N110" s="18">
        <v>0.17119999999999999</v>
      </c>
      <c r="O110" s="18">
        <v>0.43</v>
      </c>
      <c r="P110" s="18">
        <v>13.8</v>
      </c>
      <c r="Q110" s="5" t="s">
        <v>486</v>
      </c>
      <c r="R110" s="5" t="s">
        <v>409</v>
      </c>
      <c r="S110" s="5" t="s">
        <v>487</v>
      </c>
      <c r="T110" s="47" t="s">
        <v>488</v>
      </c>
      <c r="U110" s="5" t="s">
        <v>489</v>
      </c>
      <c r="V110" s="5" t="s">
        <v>490</v>
      </c>
      <c r="W110" s="5" t="s">
        <v>491</v>
      </c>
      <c r="X110" s="5" t="s">
        <v>492</v>
      </c>
      <c r="Y110" s="5" t="s">
        <v>493</v>
      </c>
      <c r="Z110" s="5"/>
      <c r="AA110" s="5"/>
      <c r="AB110" s="5"/>
      <c r="AC110" s="5"/>
      <c r="AD110" s="5" t="s">
        <v>494</v>
      </c>
      <c r="AE110" s="5"/>
      <c r="AF110" s="5"/>
      <c r="AG110" s="5"/>
      <c r="AH110" s="5"/>
      <c r="AI110" s="5"/>
    </row>
    <row r="111" spans="1:35" ht="27">
      <c r="A111" s="5"/>
      <c r="B111" s="5"/>
      <c r="C111" s="5"/>
      <c r="D111" s="7"/>
      <c r="E111" s="5"/>
      <c r="F111" s="7"/>
      <c r="G111" s="5"/>
      <c r="H111" s="7"/>
      <c r="I111" s="7"/>
      <c r="J111" s="7"/>
      <c r="K111" s="7"/>
      <c r="L111" s="11" t="s">
        <v>495</v>
      </c>
      <c r="M111" s="5" t="s">
        <v>93</v>
      </c>
      <c r="N111" s="5" t="s">
        <v>496</v>
      </c>
      <c r="O111" s="5" t="s">
        <v>458</v>
      </c>
      <c r="P111" s="5" t="s">
        <v>497</v>
      </c>
      <c r="Q111" s="5" t="s">
        <v>96</v>
      </c>
      <c r="R111" s="5" t="s">
        <v>287</v>
      </c>
      <c r="S111" s="5" t="s">
        <v>498</v>
      </c>
      <c r="T111" s="47" t="s">
        <v>499</v>
      </c>
      <c r="U111" s="5" t="s">
        <v>500</v>
      </c>
      <c r="V111" s="5" t="s">
        <v>501</v>
      </c>
      <c r="W111" s="5" t="s">
        <v>502</v>
      </c>
      <c r="X111" s="5" t="s">
        <v>503</v>
      </c>
      <c r="Y111" s="5" t="s">
        <v>504</v>
      </c>
      <c r="Z111" s="5"/>
      <c r="AA111" s="5"/>
      <c r="AB111" s="5"/>
      <c r="AC111" s="5"/>
      <c r="AD111" s="5" t="s">
        <v>505</v>
      </c>
      <c r="AE111" s="5"/>
      <c r="AF111" s="5"/>
      <c r="AG111" s="5"/>
      <c r="AH111" s="5"/>
      <c r="AI111" s="5"/>
    </row>
    <row r="112" spans="1:35" ht="13.5">
      <c r="A112" s="1" t="s">
        <v>35</v>
      </c>
      <c r="B112" s="5" t="s">
        <v>506</v>
      </c>
      <c r="C112" s="5" t="s">
        <v>506</v>
      </c>
      <c r="D112" s="7" t="s">
        <v>373</v>
      </c>
      <c r="E112" s="5" t="s">
        <v>506</v>
      </c>
      <c r="F112" s="7" t="s">
        <v>329</v>
      </c>
      <c r="G112" s="5"/>
      <c r="H112" s="7" t="s">
        <v>374</v>
      </c>
      <c r="I112" s="7"/>
      <c r="J112" s="7"/>
      <c r="K112" s="7" t="s">
        <v>331</v>
      </c>
      <c r="L112" s="7" t="s">
        <v>507</v>
      </c>
      <c r="M112" s="5"/>
      <c r="N112" s="5"/>
      <c r="O112" s="5"/>
      <c r="P112" s="5"/>
      <c r="Q112" s="5"/>
      <c r="R112" s="5"/>
      <c r="S112" s="5"/>
      <c r="T112" s="47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1:35" ht="27">
      <c r="A113" s="5" t="s">
        <v>35</v>
      </c>
      <c r="B113" s="5" t="s">
        <v>508</v>
      </c>
      <c r="C113" s="5" t="s">
        <v>508</v>
      </c>
      <c r="D113" s="7" t="s">
        <v>509</v>
      </c>
      <c r="E113" s="5" t="s">
        <v>508</v>
      </c>
      <c r="F113" s="7" t="s">
        <v>329</v>
      </c>
      <c r="G113" s="5"/>
      <c r="H113" s="7" t="s">
        <v>510</v>
      </c>
      <c r="I113" s="7"/>
      <c r="J113" s="7"/>
      <c r="K113" s="7" t="s">
        <v>331</v>
      </c>
      <c r="L113" s="29" t="s">
        <v>511</v>
      </c>
      <c r="M113" s="5" t="s">
        <v>93</v>
      </c>
      <c r="N113" s="31">
        <f>7.9/(100-19.8)</f>
        <v>9.8503740648379051E-2</v>
      </c>
      <c r="O113" s="18">
        <v>0.42</v>
      </c>
      <c r="P113" s="18">
        <v>12.79</v>
      </c>
      <c r="Q113" s="18" t="s">
        <v>96</v>
      </c>
      <c r="R113" s="18" t="s">
        <v>378</v>
      </c>
      <c r="S113" s="18" t="s">
        <v>512</v>
      </c>
      <c r="T113" s="58">
        <v>2.694</v>
      </c>
      <c r="U113" s="5" t="s">
        <v>513</v>
      </c>
      <c r="V113" s="5" t="s">
        <v>514</v>
      </c>
      <c r="W113" s="5" t="s">
        <v>515</v>
      </c>
      <c r="X113" s="5" t="s">
        <v>516</v>
      </c>
      <c r="Y113" s="5" t="s">
        <v>517</v>
      </c>
      <c r="Z113" s="5"/>
      <c r="AA113" s="5"/>
      <c r="AB113" s="5"/>
      <c r="AC113" s="5"/>
      <c r="AD113" s="5" t="s">
        <v>518</v>
      </c>
      <c r="AE113" s="5"/>
      <c r="AF113" s="5"/>
      <c r="AG113" s="5"/>
      <c r="AH113" s="5"/>
      <c r="AI113" s="5"/>
    </row>
    <row r="114" spans="1:35" ht="13.5">
      <c r="A114" s="5"/>
      <c r="B114" s="5"/>
      <c r="C114" s="5"/>
      <c r="D114" s="7"/>
      <c r="E114" s="5"/>
      <c r="F114" s="7"/>
      <c r="G114" s="5"/>
      <c r="H114" s="7"/>
      <c r="I114" s="7"/>
      <c r="J114" s="7"/>
      <c r="K114" s="7"/>
      <c r="L114" s="29" t="s">
        <v>386</v>
      </c>
      <c r="M114" s="5" t="s">
        <v>93</v>
      </c>
      <c r="N114" s="31">
        <f>8.1/(100-18.8)</f>
        <v>9.9753694581280777E-2</v>
      </c>
      <c r="O114" s="5" t="s">
        <v>519</v>
      </c>
      <c r="P114" s="5" t="s">
        <v>520</v>
      </c>
      <c r="Q114" s="5" t="s">
        <v>96</v>
      </c>
      <c r="R114" s="18" t="s">
        <v>287</v>
      </c>
      <c r="S114" s="5" t="s">
        <v>521</v>
      </c>
      <c r="T114" s="47" t="s">
        <v>522</v>
      </c>
      <c r="U114" s="5" t="s">
        <v>523</v>
      </c>
      <c r="V114" s="5" t="s">
        <v>524</v>
      </c>
      <c r="W114" s="5" t="s">
        <v>525</v>
      </c>
      <c r="X114" s="5" t="s">
        <v>526</v>
      </c>
      <c r="Y114" s="5" t="s">
        <v>527</v>
      </c>
      <c r="Z114" s="5"/>
      <c r="AA114" s="5"/>
      <c r="AB114" s="5"/>
      <c r="AC114" s="5"/>
      <c r="AD114" s="5" t="s">
        <v>528</v>
      </c>
      <c r="AE114" s="5"/>
      <c r="AF114" s="5"/>
      <c r="AG114" s="5"/>
      <c r="AH114" s="5"/>
      <c r="AI114" s="5"/>
    </row>
    <row r="115" spans="1:35" ht="13.5">
      <c r="A115" s="5"/>
      <c r="B115" s="5"/>
      <c r="C115" s="5"/>
      <c r="D115" s="7"/>
      <c r="E115" s="5"/>
      <c r="F115" s="7"/>
      <c r="G115" s="5"/>
      <c r="H115" s="7"/>
      <c r="I115" s="7"/>
      <c r="J115" s="7"/>
      <c r="K115" s="7"/>
      <c r="L115" s="29" t="s">
        <v>396</v>
      </c>
      <c r="M115" s="5" t="s">
        <v>93</v>
      </c>
      <c r="N115" s="28">
        <v>0.15340000000000001</v>
      </c>
      <c r="O115" s="5" t="s">
        <v>519</v>
      </c>
      <c r="P115" s="5" t="s">
        <v>529</v>
      </c>
      <c r="Q115" s="5" t="s">
        <v>96</v>
      </c>
      <c r="R115" s="18" t="s">
        <v>398</v>
      </c>
      <c r="S115" s="5" t="s">
        <v>530</v>
      </c>
      <c r="T115" s="47" t="s">
        <v>531</v>
      </c>
      <c r="U115" s="5" t="s">
        <v>532</v>
      </c>
      <c r="V115" s="5" t="s">
        <v>533</v>
      </c>
      <c r="W115" s="5" t="s">
        <v>534</v>
      </c>
      <c r="X115" s="5" t="s">
        <v>535</v>
      </c>
      <c r="Y115" s="5" t="s">
        <v>536</v>
      </c>
      <c r="Z115" s="5"/>
      <c r="AA115" s="5"/>
      <c r="AB115" s="5"/>
      <c r="AC115" s="5"/>
      <c r="AD115" s="5" t="s">
        <v>537</v>
      </c>
      <c r="AE115" s="5"/>
      <c r="AF115" s="5"/>
      <c r="AG115" s="5"/>
      <c r="AH115" s="5"/>
      <c r="AI115" s="5"/>
    </row>
    <row r="116" spans="1:35" ht="27">
      <c r="A116" s="5"/>
      <c r="B116" s="5"/>
      <c r="C116" s="5"/>
      <c r="D116" s="7"/>
      <c r="E116" s="5"/>
      <c r="F116" s="7"/>
      <c r="G116" s="5"/>
      <c r="H116" s="7"/>
      <c r="I116" s="7"/>
      <c r="J116" s="7"/>
      <c r="K116" s="7"/>
      <c r="L116" s="11" t="s">
        <v>417</v>
      </c>
      <c r="M116" s="5" t="s">
        <v>93</v>
      </c>
      <c r="N116" s="5" t="s">
        <v>538</v>
      </c>
      <c r="O116" s="5" t="s">
        <v>539</v>
      </c>
      <c r="P116" s="5" t="s">
        <v>540</v>
      </c>
      <c r="Q116" s="5" t="s">
        <v>96</v>
      </c>
      <c r="R116" s="5" t="s">
        <v>378</v>
      </c>
      <c r="S116" s="5" t="s">
        <v>541</v>
      </c>
      <c r="T116" s="47" t="s">
        <v>542</v>
      </c>
      <c r="U116" s="16" t="s">
        <v>543</v>
      </c>
      <c r="V116" s="5" t="s">
        <v>544</v>
      </c>
      <c r="W116" s="5" t="s">
        <v>515</v>
      </c>
      <c r="X116" s="5" t="s">
        <v>545</v>
      </c>
      <c r="Y116" s="5" t="s">
        <v>546</v>
      </c>
      <c r="Z116" s="5"/>
      <c r="AA116" s="5"/>
      <c r="AB116" s="5"/>
      <c r="AC116" s="5"/>
      <c r="AD116" s="5" t="s">
        <v>547</v>
      </c>
      <c r="AE116" s="5"/>
      <c r="AF116" s="5"/>
      <c r="AG116" s="5"/>
      <c r="AH116" s="5"/>
      <c r="AI116" s="5"/>
    </row>
    <row r="117" spans="1:35" ht="27">
      <c r="A117" s="5"/>
      <c r="B117" s="5"/>
      <c r="C117" s="5"/>
      <c r="D117" s="7"/>
      <c r="E117" s="5"/>
      <c r="F117" s="7"/>
      <c r="G117" s="5"/>
      <c r="H117" s="7"/>
      <c r="I117" s="7"/>
      <c r="J117" s="7"/>
      <c r="K117" s="7"/>
      <c r="L117" s="11" t="s">
        <v>548</v>
      </c>
      <c r="M117" s="5" t="s">
        <v>93</v>
      </c>
      <c r="N117" s="28">
        <v>0.45350000000000001</v>
      </c>
      <c r="O117" s="5" t="s">
        <v>549</v>
      </c>
      <c r="P117" s="5" t="s">
        <v>550</v>
      </c>
      <c r="Q117" s="5" t="s">
        <v>96</v>
      </c>
      <c r="R117" s="18" t="s">
        <v>287</v>
      </c>
      <c r="S117" s="5" t="s">
        <v>551</v>
      </c>
      <c r="T117" s="47" t="s">
        <v>552</v>
      </c>
      <c r="U117" s="5" t="s">
        <v>553</v>
      </c>
      <c r="V117" s="5" t="s">
        <v>554</v>
      </c>
      <c r="W117" s="5" t="s">
        <v>555</v>
      </c>
      <c r="X117" s="5" t="s">
        <v>556</v>
      </c>
      <c r="Y117" s="5" t="s">
        <v>557</v>
      </c>
      <c r="Z117" s="5"/>
      <c r="AA117" s="5"/>
      <c r="AB117" s="5"/>
      <c r="AC117" s="5"/>
      <c r="AD117" s="5" t="s">
        <v>558</v>
      </c>
      <c r="AE117" s="5"/>
      <c r="AF117" s="5"/>
      <c r="AG117" s="5"/>
      <c r="AH117" s="5"/>
      <c r="AI117" s="5"/>
    </row>
    <row r="118" spans="1:35" ht="27">
      <c r="A118" s="5" t="s">
        <v>35</v>
      </c>
      <c r="B118" s="5" t="s">
        <v>559</v>
      </c>
      <c r="C118" s="5" t="s">
        <v>559</v>
      </c>
      <c r="D118" s="7" t="s">
        <v>509</v>
      </c>
      <c r="E118" s="5" t="s">
        <v>559</v>
      </c>
      <c r="F118" s="7" t="s">
        <v>329</v>
      </c>
      <c r="G118" s="5"/>
      <c r="H118" s="7" t="s">
        <v>510</v>
      </c>
      <c r="I118" s="7"/>
      <c r="J118" s="7"/>
      <c r="K118" s="7" t="s">
        <v>331</v>
      </c>
      <c r="L118" s="29" t="s">
        <v>560</v>
      </c>
      <c r="M118" s="5" t="s">
        <v>561</v>
      </c>
      <c r="N118" s="32">
        <f>79.6/(100-1.1)</f>
        <v>0.80485338725985833</v>
      </c>
      <c r="O118" s="5" t="s">
        <v>549</v>
      </c>
      <c r="P118" s="30">
        <v>20.83</v>
      </c>
      <c r="Q118" s="5" t="s">
        <v>562</v>
      </c>
      <c r="R118" s="5" t="s">
        <v>378</v>
      </c>
      <c r="S118" s="5" t="s">
        <v>563</v>
      </c>
      <c r="T118" s="47" t="s">
        <v>518</v>
      </c>
      <c r="U118" s="40" t="s">
        <v>532</v>
      </c>
      <c r="V118" s="5" t="s">
        <v>564</v>
      </c>
      <c r="W118" s="5" t="s">
        <v>565</v>
      </c>
      <c r="X118" s="5" t="s">
        <v>566</v>
      </c>
      <c r="Y118" s="5" t="s">
        <v>567</v>
      </c>
      <c r="Z118" s="5"/>
      <c r="AA118" s="5"/>
      <c r="AB118" s="5"/>
      <c r="AC118" s="5"/>
      <c r="AD118" s="5" t="s">
        <v>568</v>
      </c>
      <c r="AE118" s="5"/>
      <c r="AF118" s="5"/>
      <c r="AG118" s="5"/>
      <c r="AH118" s="5"/>
      <c r="AI118" s="5"/>
    </row>
    <row r="119" spans="1:35" ht="13.5">
      <c r="A119" s="5"/>
      <c r="B119" s="5"/>
      <c r="C119" s="5"/>
      <c r="D119" s="7"/>
      <c r="E119" s="5"/>
      <c r="F119" s="7"/>
      <c r="G119" s="5"/>
      <c r="H119" s="7"/>
      <c r="I119" s="7"/>
      <c r="J119" s="7"/>
      <c r="K119" s="7"/>
      <c r="L119" s="29" t="s">
        <v>386</v>
      </c>
      <c r="M119" s="5" t="s">
        <v>561</v>
      </c>
      <c r="N119" s="32">
        <f>81.4/(100-1.1)</f>
        <v>0.82305358948432761</v>
      </c>
      <c r="O119" s="5" t="s">
        <v>202</v>
      </c>
      <c r="P119" s="17" t="s">
        <v>569</v>
      </c>
      <c r="Q119" s="5" t="s">
        <v>570</v>
      </c>
      <c r="R119" s="5" t="s">
        <v>287</v>
      </c>
      <c r="S119" s="5" t="s">
        <v>571</v>
      </c>
      <c r="T119" s="47" t="s">
        <v>572</v>
      </c>
      <c r="U119" s="5" t="s">
        <v>573</v>
      </c>
      <c r="V119" s="5" t="s">
        <v>574</v>
      </c>
      <c r="W119" s="5" t="s">
        <v>575</v>
      </c>
      <c r="X119" s="5" t="s">
        <v>576</v>
      </c>
      <c r="Y119" s="5" t="s">
        <v>577</v>
      </c>
      <c r="Z119" s="5"/>
      <c r="AA119" s="5"/>
      <c r="AB119" s="5"/>
      <c r="AC119" s="5"/>
      <c r="AD119" s="5" t="s">
        <v>578</v>
      </c>
      <c r="AE119" s="5"/>
      <c r="AF119" s="5"/>
      <c r="AG119" s="5"/>
      <c r="AH119" s="5"/>
      <c r="AI119" s="5"/>
    </row>
    <row r="120" spans="1:35" ht="13.5">
      <c r="A120" s="5"/>
      <c r="B120" s="5"/>
      <c r="C120" s="5"/>
      <c r="D120" s="7"/>
      <c r="E120" s="5"/>
      <c r="F120" s="7"/>
      <c r="G120" s="5"/>
      <c r="H120" s="7"/>
      <c r="I120" s="7"/>
      <c r="J120" s="7"/>
      <c r="K120" s="7"/>
      <c r="L120" s="29" t="s">
        <v>396</v>
      </c>
      <c r="M120" s="5" t="s">
        <v>561</v>
      </c>
      <c r="N120" s="28">
        <v>0.82299999999999995</v>
      </c>
      <c r="O120" s="5" t="s">
        <v>549</v>
      </c>
      <c r="P120" s="5" t="s">
        <v>579</v>
      </c>
      <c r="Q120" s="5" t="s">
        <v>580</v>
      </c>
      <c r="R120" s="5" t="s">
        <v>398</v>
      </c>
      <c r="S120" s="5" t="s">
        <v>581</v>
      </c>
      <c r="T120" s="47" t="s">
        <v>582</v>
      </c>
      <c r="U120" s="5" t="s">
        <v>583</v>
      </c>
      <c r="V120" s="5" t="s">
        <v>584</v>
      </c>
      <c r="W120" s="5" t="s">
        <v>585</v>
      </c>
      <c r="X120" s="5" t="s">
        <v>586</v>
      </c>
      <c r="Y120" s="5" t="s">
        <v>587</v>
      </c>
      <c r="Z120" s="5"/>
      <c r="AA120" s="5"/>
      <c r="AB120" s="5"/>
      <c r="AC120" s="5"/>
      <c r="AD120" s="5" t="s">
        <v>588</v>
      </c>
      <c r="AE120" s="5"/>
      <c r="AF120" s="5"/>
      <c r="AG120" s="5"/>
      <c r="AH120" s="5"/>
      <c r="AI120" s="5"/>
    </row>
    <row r="121" spans="1:35" s="51" customFormat="1" ht="27">
      <c r="A121" s="47"/>
      <c r="B121" s="47"/>
      <c r="C121" s="47"/>
      <c r="D121" s="48"/>
      <c r="E121" s="47"/>
      <c r="F121" s="48"/>
      <c r="G121" s="47"/>
      <c r="H121" s="48"/>
      <c r="I121" s="48"/>
      <c r="J121" s="48"/>
      <c r="K121" s="48"/>
      <c r="L121" s="48" t="s">
        <v>417</v>
      </c>
      <c r="M121" s="47" t="s">
        <v>93</v>
      </c>
      <c r="N121" s="49">
        <v>0.98599999999999999</v>
      </c>
      <c r="O121" s="47" t="s">
        <v>381</v>
      </c>
      <c r="P121" s="47" t="s">
        <v>589</v>
      </c>
      <c r="Q121" s="47" t="s">
        <v>96</v>
      </c>
      <c r="R121" s="47" t="s">
        <v>378</v>
      </c>
      <c r="S121" s="47" t="s">
        <v>590</v>
      </c>
      <c r="T121" s="47" t="s">
        <v>591</v>
      </c>
      <c r="U121" s="47" t="s">
        <v>448</v>
      </c>
      <c r="V121" s="47" t="s">
        <v>592</v>
      </c>
      <c r="W121" s="47" t="s">
        <v>102</v>
      </c>
      <c r="X121" s="47" t="s">
        <v>593</v>
      </c>
      <c r="Y121" s="47" t="s">
        <v>594</v>
      </c>
      <c r="Z121" s="50" t="s">
        <v>595</v>
      </c>
      <c r="AA121" s="50" t="s">
        <v>596</v>
      </c>
      <c r="AB121" s="47" t="s">
        <v>427</v>
      </c>
      <c r="AC121" s="50">
        <f>Z121/1</f>
        <v>7253</v>
      </c>
      <c r="AD121" s="47" t="s">
        <v>597</v>
      </c>
      <c r="AE121" s="47" t="s">
        <v>378</v>
      </c>
      <c r="AF121" s="47"/>
      <c r="AG121" s="47"/>
      <c r="AH121" s="47"/>
      <c r="AI121" s="47"/>
    </row>
    <row r="122" spans="1:35" ht="27">
      <c r="A122" s="5"/>
      <c r="B122" s="5"/>
      <c r="C122" s="5"/>
      <c r="D122" s="7" t="s">
        <v>509</v>
      </c>
      <c r="E122" s="5" t="s">
        <v>559</v>
      </c>
      <c r="F122" s="7"/>
      <c r="G122" s="5"/>
      <c r="H122" s="7"/>
      <c r="I122" s="7"/>
      <c r="J122" s="7"/>
      <c r="K122" s="7"/>
      <c r="L122" s="11" t="s">
        <v>598</v>
      </c>
      <c r="M122" s="5" t="s">
        <v>93</v>
      </c>
      <c r="N122" s="28">
        <v>0.98599999999999999</v>
      </c>
      <c r="O122" s="5" t="s">
        <v>381</v>
      </c>
      <c r="P122" s="5" t="s">
        <v>599</v>
      </c>
      <c r="Q122" s="5" t="s">
        <v>96</v>
      </c>
      <c r="R122" s="5" t="s">
        <v>287</v>
      </c>
      <c r="S122" s="5" t="s">
        <v>600</v>
      </c>
      <c r="T122" s="47" t="s">
        <v>601</v>
      </c>
      <c r="U122" s="5" t="s">
        <v>602</v>
      </c>
      <c r="V122" s="5" t="s">
        <v>603</v>
      </c>
      <c r="W122" s="5" t="s">
        <v>604</v>
      </c>
      <c r="X122" s="5" t="s">
        <v>605</v>
      </c>
      <c r="Y122" s="5" t="s">
        <v>504</v>
      </c>
      <c r="Z122" s="41" t="s">
        <v>606</v>
      </c>
      <c r="AA122" s="41" t="s">
        <v>607</v>
      </c>
      <c r="AB122" s="5"/>
      <c r="AC122" s="41">
        <f>Z122/4</f>
        <v>6165.75</v>
      </c>
      <c r="AD122" s="5" t="s">
        <v>608</v>
      </c>
      <c r="AE122" s="5" t="s">
        <v>440</v>
      </c>
      <c r="AF122" s="5"/>
      <c r="AG122" s="5"/>
      <c r="AH122" s="5"/>
      <c r="AI122" s="5"/>
    </row>
    <row r="123" spans="1:35" ht="13.5">
      <c r="A123" s="5"/>
      <c r="B123" s="5"/>
      <c r="C123" s="5"/>
      <c r="D123" s="7"/>
      <c r="E123" s="5"/>
      <c r="F123" s="7"/>
      <c r="G123" s="5"/>
      <c r="H123" s="7"/>
      <c r="I123" s="7"/>
      <c r="J123" s="7"/>
      <c r="K123" s="7"/>
      <c r="L123" s="11" t="s">
        <v>396</v>
      </c>
      <c r="M123" s="5"/>
      <c r="N123" s="28"/>
      <c r="O123" s="5"/>
      <c r="P123" s="5"/>
      <c r="Q123" s="5"/>
      <c r="R123" s="5"/>
      <c r="S123" s="5"/>
      <c r="T123" s="47"/>
      <c r="U123" s="5"/>
      <c r="V123" s="5"/>
      <c r="W123" s="5"/>
      <c r="X123" s="5"/>
      <c r="Y123" s="5"/>
      <c r="Z123" s="41" t="s">
        <v>609</v>
      </c>
      <c r="AA123" s="41" t="s">
        <v>610</v>
      </c>
      <c r="AB123" s="5"/>
      <c r="AC123" s="41">
        <f>Z123/2</f>
        <v>6913.5</v>
      </c>
      <c r="AD123" s="5"/>
      <c r="AE123" s="5" t="s">
        <v>443</v>
      </c>
      <c r="AF123" s="5"/>
      <c r="AG123" s="5"/>
      <c r="AH123" s="5"/>
      <c r="AI123" s="5"/>
    </row>
    <row r="124" spans="1:35" ht="13.5">
      <c r="A124" s="5" t="s">
        <v>35</v>
      </c>
      <c r="B124" s="5" t="s">
        <v>611</v>
      </c>
      <c r="C124" s="5" t="s">
        <v>611</v>
      </c>
      <c r="D124" s="7" t="s">
        <v>612</v>
      </c>
      <c r="E124" s="5" t="s">
        <v>611</v>
      </c>
      <c r="F124" s="7" t="s">
        <v>329</v>
      </c>
      <c r="G124" s="5"/>
      <c r="H124" s="7" t="s">
        <v>613</v>
      </c>
      <c r="I124" s="7"/>
      <c r="J124" s="7"/>
      <c r="K124" s="7" t="s">
        <v>331</v>
      </c>
      <c r="L124" s="7" t="s">
        <v>369</v>
      </c>
      <c r="M124" s="5"/>
      <c r="N124" s="5"/>
      <c r="O124" s="5"/>
      <c r="P124" s="5"/>
      <c r="Q124" s="5"/>
      <c r="R124" s="5"/>
      <c r="S124" s="5"/>
      <c r="T124" s="47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 ht="13.5">
      <c r="A125" s="5" t="s">
        <v>35</v>
      </c>
      <c r="B125" s="5" t="s">
        <v>614</v>
      </c>
      <c r="C125" s="5" t="s">
        <v>614</v>
      </c>
      <c r="D125" s="7" t="s">
        <v>612</v>
      </c>
      <c r="E125" s="5" t="s">
        <v>614</v>
      </c>
      <c r="F125" s="7" t="s">
        <v>329</v>
      </c>
      <c r="G125" s="5"/>
      <c r="H125" s="7" t="s">
        <v>613</v>
      </c>
      <c r="I125" s="7"/>
      <c r="J125" s="7"/>
      <c r="K125" s="7" t="s">
        <v>331</v>
      </c>
      <c r="L125" s="7" t="s">
        <v>615</v>
      </c>
      <c r="M125" s="5"/>
      <c r="N125" s="5"/>
      <c r="O125" s="5"/>
      <c r="P125" s="5"/>
      <c r="Q125" s="5"/>
      <c r="R125" s="5"/>
      <c r="S125" s="5"/>
      <c r="T125" s="47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 ht="13.5">
      <c r="A126" s="5" t="s">
        <v>35</v>
      </c>
      <c r="B126" s="5" t="s">
        <v>616</v>
      </c>
      <c r="C126" s="5" t="s">
        <v>616</v>
      </c>
      <c r="D126" s="7" t="s">
        <v>612</v>
      </c>
      <c r="E126" s="5" t="s">
        <v>616</v>
      </c>
      <c r="F126" s="7" t="s">
        <v>329</v>
      </c>
      <c r="G126" s="5"/>
      <c r="H126" s="7" t="s">
        <v>613</v>
      </c>
      <c r="I126" s="7"/>
      <c r="J126" s="7"/>
      <c r="K126" s="7" t="s">
        <v>331</v>
      </c>
      <c r="L126" s="7" t="s">
        <v>617</v>
      </c>
      <c r="M126" s="5"/>
      <c r="N126" s="5"/>
      <c r="O126" s="5"/>
      <c r="P126" s="5"/>
      <c r="Q126" s="5"/>
      <c r="R126" s="5"/>
      <c r="S126" s="5"/>
      <c r="T126" s="47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1:35" ht="13.5">
      <c r="A127" s="5" t="s">
        <v>35</v>
      </c>
      <c r="B127" s="5" t="s">
        <v>618</v>
      </c>
      <c r="C127" s="5" t="s">
        <v>618</v>
      </c>
      <c r="D127" s="2" t="s">
        <v>619</v>
      </c>
      <c r="E127" s="5" t="s">
        <v>618</v>
      </c>
      <c r="F127" s="7" t="s">
        <v>620</v>
      </c>
      <c r="G127" s="5"/>
      <c r="H127" s="2" t="s">
        <v>621</v>
      </c>
      <c r="I127" s="35">
        <v>80</v>
      </c>
      <c r="J127" s="35">
        <v>160</v>
      </c>
      <c r="K127" s="7" t="s">
        <v>331</v>
      </c>
      <c r="L127" s="7" t="s">
        <v>70</v>
      </c>
      <c r="M127" s="5"/>
      <c r="N127" s="5"/>
      <c r="O127" s="5"/>
      <c r="P127" s="5"/>
      <c r="Q127" s="5"/>
      <c r="R127" s="5"/>
      <c r="S127" s="5"/>
      <c r="T127" s="47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1:35" ht="13.5">
      <c r="A128" s="5" t="s">
        <v>35</v>
      </c>
      <c r="B128" s="5" t="s">
        <v>622</v>
      </c>
      <c r="C128" s="5" t="s">
        <v>622</v>
      </c>
      <c r="D128" s="2" t="s">
        <v>619</v>
      </c>
      <c r="E128" s="5" t="s">
        <v>622</v>
      </c>
      <c r="F128" s="7" t="s">
        <v>620</v>
      </c>
      <c r="G128" s="5"/>
      <c r="H128" s="2" t="s">
        <v>621</v>
      </c>
      <c r="I128" s="35">
        <v>80</v>
      </c>
      <c r="J128" s="35">
        <v>160</v>
      </c>
      <c r="K128" s="7" t="s">
        <v>331</v>
      </c>
      <c r="L128" s="7" t="s">
        <v>57</v>
      </c>
      <c r="M128" s="5"/>
      <c r="N128" s="5"/>
      <c r="O128" s="5"/>
      <c r="P128" s="5"/>
      <c r="Q128" s="5"/>
      <c r="R128" s="5"/>
      <c r="S128" s="5"/>
      <c r="T128" s="47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1: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7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1: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7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spans="1: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7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1: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7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1: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7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1: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7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spans="1: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7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spans="1: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7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spans="1: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7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1: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7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spans="1: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7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1: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7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spans="1: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7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1: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7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1: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7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1: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7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1: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7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1: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7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spans="1: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7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1: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7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spans="1: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7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1: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7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spans="1: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7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1: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7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spans="1: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7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1: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7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spans="1: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7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1: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7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spans="1: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7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1: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7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1: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7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1: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7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spans="1: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7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1: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7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spans="1: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7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1: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7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spans="1: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7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1: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7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spans="1: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7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7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1: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7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1: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7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spans="1: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7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spans="1: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7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spans="1: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7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spans="1: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7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spans="1: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7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spans="1: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7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spans="1: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7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spans="1: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7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spans="1: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7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spans="1: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7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spans="1: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7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spans="1: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7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spans="1: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7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spans="1: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7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spans="1: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7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spans="1: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7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spans="1: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7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spans="1: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7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spans="1: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7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spans="1: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7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spans="1: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7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spans="1: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7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spans="1: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7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spans="1: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7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spans="1: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7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spans="1: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7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spans="1: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7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spans="1: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7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spans="1: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7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spans="1: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7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spans="1: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7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spans="1: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7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spans="1: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7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spans="1: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7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spans="1: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7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spans="1: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7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spans="1: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7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spans="1: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7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spans="1: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7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spans="1: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7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7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spans="1: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7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spans="1: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7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spans="1: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7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spans="1: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7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spans="1: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7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spans="1: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7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spans="1: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7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spans="1: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7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spans="1: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7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spans="1: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7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spans="1: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7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spans="1: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7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spans="1: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7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spans="1: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7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spans="1: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7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spans="1: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7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spans="1: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7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spans="1: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7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spans="1: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7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spans="1: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7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spans="1: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7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spans="1: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7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spans="1: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7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spans="1: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7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spans="1: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7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spans="1: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7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spans="1: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7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spans="1: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7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spans="1: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7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spans="1: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7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spans="1: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7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spans="1: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7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spans="1: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7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spans="1: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7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spans="1: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7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spans="1: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7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spans="1: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7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spans="1: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7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spans="1: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7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spans="1: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7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spans="1: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7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spans="1: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7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7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spans="1: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7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spans="1: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7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spans="1: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7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spans="1: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7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spans="1: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7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spans="1: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7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spans="1: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7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spans="1: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7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spans="1: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7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spans="1: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7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spans="1: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7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spans="1: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7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spans="1: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7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spans="1: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7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spans="1: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7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spans="1: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7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spans="1: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7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spans="1: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7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spans="1: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7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spans="1: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7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spans="1: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7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spans="1: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7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spans="1: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7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spans="1: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7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spans="1: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7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spans="1: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7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spans="1: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7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spans="1: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7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spans="1: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7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spans="1: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7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spans="1: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7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spans="1: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7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spans="1: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7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spans="1: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7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spans="1: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7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spans="1: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7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spans="1: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7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spans="1: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7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spans="1: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7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spans="1: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7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spans="1: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7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spans="1: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7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7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7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spans="1: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7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spans="1: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7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spans="1: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7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spans="1: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7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spans="1: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7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spans="1: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7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spans="1: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7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spans="1: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7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spans="1: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7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spans="1: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7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spans="1: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7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spans="1: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7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spans="1: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7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spans="1: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7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spans="1: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7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spans="1: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7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spans="1: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7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spans="1: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7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spans="1: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7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spans="1: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7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spans="1: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7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spans="1: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7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spans="1: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7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spans="1: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7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spans="1: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7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spans="1: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7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spans="1: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7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spans="1: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7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spans="1: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7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spans="1: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7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spans="1: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7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spans="1: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7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spans="1: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7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spans="1: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7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spans="1: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7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spans="1: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7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spans="1: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7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spans="1: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7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spans="1: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7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spans="1: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7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spans="1: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7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7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spans="1: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7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spans="1: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7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spans="1: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7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spans="1: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7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spans="1: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7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spans="1: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7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spans="1: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7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spans="1: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7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spans="1: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7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spans="1: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7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spans="1: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7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spans="1: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7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spans="1: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7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spans="1: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7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spans="1: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7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spans="1: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7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spans="1: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7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spans="1: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7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spans="1: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7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spans="1: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7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spans="1: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7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spans="1: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7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spans="1: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7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spans="1: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7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spans="1: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7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spans="1: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7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spans="1: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7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spans="1: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7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spans="1: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7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spans="1: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7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spans="1: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7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spans="1: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7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spans="1: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7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spans="1: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7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spans="1: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7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spans="1: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7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spans="1: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7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spans="1: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7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spans="1: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7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spans="1: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7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spans="1: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7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spans="1: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7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7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7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spans="1: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7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spans="1: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7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spans="1: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7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spans="1: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7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spans="1: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7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spans="1: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7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spans="1: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7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spans="1: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7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spans="1: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7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spans="1: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7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spans="1: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7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spans="1: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7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spans="1: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7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spans="1: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7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spans="1: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7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spans="1: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7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spans="1: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7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spans="1: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7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spans="1: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7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spans="1: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7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spans="1: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7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spans="1: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7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spans="1: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7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spans="1: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7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spans="1: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7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spans="1: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7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spans="1: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7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spans="1: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7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spans="1: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7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spans="1: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7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spans="1: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7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spans="1: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7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spans="1: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7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spans="1: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7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spans="1: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7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spans="1: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7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spans="1: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7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spans="1: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7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spans="1: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7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spans="1: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7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spans="1: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7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7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spans="1: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7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spans="1: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7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spans="1: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7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spans="1: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7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spans="1: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7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spans="1: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7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spans="1: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7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spans="1: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7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spans="1: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7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spans="1: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7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spans="1: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7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spans="1: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7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spans="1: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7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spans="1: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7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spans="1: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7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spans="1: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7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spans="1: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7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spans="1: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7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spans="1: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7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spans="1: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7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spans="1: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7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spans="1: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7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spans="1: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7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spans="1: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7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spans="1: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7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spans="1: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7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spans="1: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7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spans="1: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7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spans="1: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7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spans="1: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7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spans="1: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7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spans="1: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7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spans="1: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7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spans="1: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7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spans="1: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7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spans="1: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7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spans="1: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7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spans="1: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7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spans="1: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7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spans="1: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7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spans="1: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7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spans="1: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7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spans="1: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7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spans="1: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7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spans="1: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7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spans="1: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7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spans="1: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7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spans="1: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7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spans="1: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7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spans="1: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7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spans="1: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7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spans="1: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7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spans="1: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7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spans="1: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7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spans="1: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7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spans="1: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7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spans="1: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7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spans="1: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7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spans="1: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7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spans="1: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7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spans="1: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7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spans="1: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7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spans="1: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7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spans="1: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7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spans="1: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7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spans="1: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7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spans="1: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7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spans="1: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7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spans="1: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7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spans="1: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7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spans="1: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7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spans="1: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7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spans="1: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7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spans="1: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7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spans="1: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7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spans="1: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7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spans="1: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7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spans="1: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7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spans="1: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7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7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spans="1: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7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spans="1: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7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spans="1: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7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spans="1: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7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spans="1: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7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spans="1: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7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spans="1: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7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spans="1: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7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spans="1: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7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spans="1: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7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spans="1: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7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spans="1: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7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spans="1: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7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spans="1: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7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spans="1: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7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spans="1: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7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spans="1: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7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spans="1: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7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spans="1: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7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spans="1: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7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spans="1: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7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spans="1: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7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spans="1: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7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spans="1: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7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spans="1: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7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spans="1: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7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spans="1: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7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spans="1: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7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spans="1: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7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spans="1: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7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spans="1: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7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spans="1: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7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spans="1: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7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spans="1: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7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spans="1: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7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spans="1: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7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spans="1: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7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spans="1: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7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spans="1: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7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spans="1: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7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spans="1: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7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spans="1: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7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spans="1: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7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spans="1: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7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spans="1: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7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spans="1: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7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spans="1: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7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spans="1: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7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spans="1: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7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spans="1: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7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spans="1: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7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spans="1: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7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spans="1: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7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spans="1: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7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spans="1: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7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spans="1: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7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spans="1: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7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spans="1: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7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spans="1: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7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spans="1: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7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spans="1: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7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spans="1: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7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spans="1: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7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spans="1: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7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spans="1: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7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spans="1: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7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spans="1: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7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spans="1: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7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spans="1: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7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spans="1: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7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spans="1: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7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spans="1: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7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spans="1: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7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spans="1: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7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spans="1: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7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spans="1: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7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spans="1: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7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spans="1: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7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spans="1: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7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spans="1: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7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spans="1: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7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spans="1: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7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spans="1: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7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spans="1: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7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spans="1: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7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spans="1: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7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spans="1: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7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spans="1: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7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spans="1: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7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spans="1: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7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spans="1: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7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spans="1: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7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spans="1: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7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spans="1: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7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spans="1: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7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spans="1: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7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spans="1: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7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spans="1: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7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spans="1: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7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spans="1: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7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spans="1: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7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spans="1: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7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spans="1: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7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spans="1: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7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spans="1: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7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spans="1: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7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spans="1: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7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spans="1: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7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spans="1: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7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spans="1: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7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spans="1: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7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spans="1: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7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spans="1: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7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spans="1: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7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spans="1: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7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spans="1: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7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spans="1: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7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spans="1: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7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spans="1: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7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spans="1: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7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spans="1: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7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spans="1: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7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spans="1: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7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spans="1: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7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spans="1: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7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spans="1: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7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spans="1: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7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spans="1: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7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spans="1: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7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spans="1: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7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spans="1: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7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spans="1: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7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spans="1: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7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spans="1: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7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spans="1: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7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spans="1: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7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spans="1: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7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spans="1: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7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spans="1: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7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spans="1: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7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spans="1: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7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spans="1: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7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spans="1: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7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spans="1: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7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spans="1: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7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spans="1: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7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spans="1: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7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spans="1: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7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spans="1: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7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spans="1: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7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spans="1: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7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spans="1: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7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spans="1: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7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spans="1: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7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spans="1: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7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spans="1: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7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spans="1: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7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spans="1: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7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spans="1: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7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spans="1: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7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spans="1: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7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spans="1: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7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spans="1: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7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spans="1: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7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spans="1: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7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spans="1: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7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spans="1: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7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spans="1: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7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spans="1: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7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spans="1: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7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spans="1: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7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spans="1: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7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spans="1: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7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spans="1: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7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spans="1: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7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spans="1: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7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spans="1: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7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spans="1: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7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spans="1: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7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spans="1: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7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spans="1: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7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spans="1: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7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spans="1: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7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spans="1: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7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spans="1: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7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spans="1: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7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spans="1: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7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spans="1: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7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spans="1: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7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spans="1: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7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spans="1: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7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spans="1: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7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spans="1: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7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spans="1: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7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spans="1: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7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spans="1: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7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spans="1: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7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spans="1: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7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spans="1: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7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spans="1: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7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spans="1: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7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spans="1: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7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spans="1: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7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spans="1: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7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spans="1: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7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spans="1: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7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spans="1: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7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spans="1: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7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spans="1: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7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spans="1: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7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spans="1: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7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spans="1: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7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spans="1: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7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spans="1: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7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spans="1: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7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spans="1: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7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spans="1: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7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spans="1: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7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spans="1: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7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spans="1: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7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spans="1: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7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spans="1: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7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spans="1: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7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spans="1: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7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spans="1: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7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spans="1: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7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spans="1: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7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spans="1: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7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spans="1: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7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spans="1: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7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spans="1: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7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spans="1: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7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spans="1: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7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spans="1: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7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spans="1: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7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spans="1: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7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spans="1: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7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spans="1: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7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spans="1: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7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spans="1: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7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spans="1: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7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spans="1: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7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spans="1: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7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spans="1: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7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spans="1: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7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spans="1: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7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spans="1: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7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spans="1: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7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spans="1: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7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spans="1: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7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spans="1: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7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spans="1: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7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spans="1: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7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spans="1: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7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spans="1: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7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spans="1: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7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spans="1: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7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spans="1: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7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spans="1: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7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spans="1: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7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spans="1: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7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spans="1: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7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spans="1: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7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spans="1: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7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spans="1: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7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spans="1: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7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spans="1: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7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spans="1: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7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spans="1: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7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spans="1: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7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spans="1: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7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spans="1: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7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spans="1: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7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spans="1: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7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spans="1: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7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spans="1: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7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spans="1: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7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spans="1: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7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spans="1: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7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spans="1: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7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spans="1: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7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spans="1: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7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spans="1: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7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spans="1: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7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spans="1: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7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spans="1: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7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spans="1: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7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spans="1: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7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spans="1: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7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spans="1: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7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spans="1: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7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spans="1: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7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spans="1: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7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spans="1: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7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spans="1: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7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spans="1: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7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spans="1: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7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spans="1: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7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spans="1: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7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spans="1: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7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spans="1: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7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spans="1: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7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spans="1: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7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spans="1: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7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spans="1: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7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spans="1: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7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spans="1: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7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spans="1: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7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spans="1: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7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spans="1: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7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spans="1: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7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spans="1: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7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spans="1: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7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spans="1: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7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spans="1: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7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spans="1: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7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spans="1: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7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spans="1: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7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spans="1: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7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spans="1: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7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spans="1: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7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spans="1: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7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spans="1: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7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spans="1: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7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spans="1: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7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spans="1: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7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spans="1: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7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spans="1: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7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spans="1: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7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spans="1: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7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spans="1: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7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spans="1: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7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spans="1: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7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spans="1: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7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spans="1: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7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spans="1: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7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spans="1: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7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spans="1: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7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spans="1: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7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spans="1: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7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spans="1: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7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spans="1: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7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spans="1: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7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spans="1: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7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spans="1: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7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spans="1: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7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spans="1: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7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spans="1: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7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spans="1: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7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spans="1: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7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spans="1: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7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spans="1: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7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spans="1: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7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spans="1: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7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spans="1: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7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spans="1: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7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spans="1: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7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spans="1: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7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spans="1: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7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spans="1: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7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spans="1: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7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spans="1: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7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spans="1: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7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spans="1: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7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spans="1: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7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spans="1: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7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spans="1: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7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spans="1: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7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spans="1: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7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spans="1: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7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spans="1: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7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spans="1: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7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spans="1: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7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spans="1: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7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spans="1: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7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spans="1: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7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spans="1: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7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spans="1: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7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spans="1: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7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spans="1: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7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spans="1: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7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spans="1: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7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spans="1: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7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spans="1: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7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spans="1: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7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spans="1: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7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spans="1: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7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spans="1: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7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spans="1: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7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spans="1: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7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spans="1: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7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spans="1: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7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spans="1: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7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spans="1: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7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spans="1: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7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spans="1: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7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spans="1: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7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spans="1: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7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spans="1: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7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spans="1: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7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spans="1: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7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spans="1: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7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spans="1: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7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spans="1: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7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spans="1: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7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spans="1: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7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spans="1: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7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spans="1: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7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spans="1: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7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spans="1: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7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spans="1: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7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spans="1: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7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spans="1: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7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spans="1: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7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spans="1: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7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spans="1: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7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spans="1: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7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spans="1: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7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spans="1: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7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spans="1: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7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spans="1: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7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spans="1: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7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spans="1: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7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spans="1: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7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spans="1: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7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spans="1: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7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spans="1: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7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spans="1: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7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spans="1: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7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spans="1: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7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spans="1: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7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spans="1: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7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spans="1: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7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spans="1: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7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spans="1: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7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spans="1: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7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spans="1: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7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spans="1: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7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spans="1: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7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spans="1: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7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spans="1: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7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spans="1: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7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spans="1: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7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spans="1: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7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spans="1: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7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spans="1: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7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spans="1: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7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spans="1: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7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spans="1: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7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spans="1: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7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spans="1: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7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spans="1: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7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spans="1: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7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spans="1: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7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spans="1: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7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spans="1: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7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spans="1: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7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spans="1: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7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spans="1: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7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spans="1: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7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spans="1: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7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spans="1: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7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spans="1: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7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spans="1: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7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spans="1: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7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spans="1: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7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spans="1: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7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spans="1: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7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spans="1: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7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spans="1: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7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spans="1: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7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spans="1: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7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spans="1: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7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spans="1: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7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spans="1: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7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spans="1: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7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spans="1: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7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spans="1: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7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spans="1: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7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spans="1: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7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spans="1: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7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spans="1: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7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spans="1: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7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spans="1: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7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spans="1: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7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spans="1: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7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spans="1: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7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spans="1: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7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spans="1: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7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spans="1: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7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spans="1: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7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spans="1: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7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  <row r="999" spans="1: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7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</row>
    <row r="1000" spans="1: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7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</row>
    <row r="1001" spans="1:3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47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</row>
    <row r="1002" spans="1:3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47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</row>
    <row r="1003" spans="1:3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47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</row>
    <row r="1004" spans="1:3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47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</row>
    <row r="1005" spans="1:3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47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</row>
    <row r="1006" spans="1:3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47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</row>
    <row r="1007" spans="1:3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47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</row>
    <row r="1008" spans="1:3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47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</row>
    <row r="1009" spans="1:3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47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</row>
    <row r="1010" spans="1:3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47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</row>
    <row r="1011" spans="1:3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47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</row>
    <row r="1012" spans="1:3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47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</row>
    <row r="1013" spans="1:3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47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</row>
    <row r="1014" spans="1:3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47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</row>
    <row r="1015" spans="1:3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47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</row>
    <row r="1016" spans="1:3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47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</row>
    <row r="1017" spans="1:3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47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</row>
    <row r="1018" spans="1:3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47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</row>
    <row r="1019" spans="1:3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47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</row>
    <row r="1020" spans="1:3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47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</row>
    <row r="1021" spans="1:3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47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</row>
    <row r="1022" spans="1:3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47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</row>
    <row r="1023" spans="1:3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47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</row>
    <row r="1024" spans="1:3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47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</row>
    <row r="1025" spans="1:3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47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</row>
    <row r="1026" spans="1:3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47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</row>
    <row r="1027" spans="1:3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47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</row>
    <row r="1028" spans="1:3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47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</row>
    <row r="1029" spans="1:3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47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</row>
    <row r="1030" spans="1:3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47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</row>
    <row r="1031" spans="1:3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47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</row>
  </sheetData>
  <pageMargins left="0.74791666666666667" right="0.74791666666666667" top="0.98402777777777772" bottom="0.98402777777777772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2023-12-04T18:57:51Z</dcterms:created>
  <dcterms:modified xsi:type="dcterms:W3CDTF">2026-07-13T18:55:05Z</dcterms:modified>
  <cp:category/>
  <cp:contentStatus/>
</cp:coreProperties>
</file>