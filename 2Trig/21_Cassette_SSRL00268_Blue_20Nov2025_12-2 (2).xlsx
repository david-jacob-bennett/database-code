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/>
  <mc:AlternateContent xmlns:mc="http://schemas.openxmlformats.org/markup-compatibility/2006">
    <mc:Choice Requires="x15">
      <x15ac:absPath xmlns:x15ac="http://schemas.microsoft.com/office/spreadsheetml/2010/11/ac" url="C:\Users\jdm255\Documents\Moody_Lab\Collaborations\SSRL-Tzanko_Doukov\"/>
    </mc:Choice>
  </mc:AlternateContent>
  <xr:revisionPtr revIDLastSave="294" documentId="13_ncr:1_{74238A49-7710-42CC-BE71-9B20681445EC}" xr6:coauthVersionLast="47" xr6:coauthVersionMax="47" xr10:uidLastSave="{731968C8-4E7B-4B28-ABD2-9BCAC3EE85F4}"/>
  <bookViews>
    <workbookView xWindow="-28920" yWindow="-120" windowWidth="29040" windowHeight="17520" xr2:uid="{F017179A-A433-40A8-893A-8DB27438429B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68" i="1" l="1"/>
  <c r="O64" i="1"/>
  <c r="O63" i="1"/>
  <c r="O17" i="1"/>
  <c r="O14" i="1"/>
</calcChain>
</file>

<file path=xl/sharedStrings.xml><?xml version="1.0" encoding="utf-8"?>
<sst xmlns="http://schemas.openxmlformats.org/spreadsheetml/2006/main" count="1016" uniqueCount="272">
  <si>
    <t>ContainerID</t>
  </si>
  <si>
    <t>ContainerType</t>
  </si>
  <si>
    <t>Port</t>
  </si>
  <si>
    <t>CrystalID</t>
  </si>
  <si>
    <t>Protein</t>
  </si>
  <si>
    <t>Directory</t>
  </si>
  <si>
    <t>Comment</t>
  </si>
  <si>
    <t>FreezingCond</t>
  </si>
  <si>
    <t>CrystalCond</t>
  </si>
  <si>
    <t>Metal</t>
  </si>
  <si>
    <t>Priority</t>
  </si>
  <si>
    <t>Person</t>
  </si>
  <si>
    <t>Diffraction results</t>
  </si>
  <si>
    <t>spot shape</t>
  </si>
  <si>
    <t>fraction indexed</t>
  </si>
  <si>
    <t>Mosaicity</t>
  </si>
  <si>
    <t>final ISa</t>
  </si>
  <si>
    <t>Frames deleted</t>
  </si>
  <si>
    <t>frames to remove</t>
  </si>
  <si>
    <t>space group</t>
  </si>
  <si>
    <t>unit cell</t>
  </si>
  <si>
    <t>iso resolution</t>
  </si>
  <si>
    <t>iso rmeas</t>
  </si>
  <si>
    <t>iso num uniq reflections</t>
  </si>
  <si>
    <t>iso overall % completeness</t>
  </si>
  <si>
    <t>iso overall redundancy</t>
  </si>
  <si>
    <t>aniso resolution</t>
  </si>
  <si>
    <t>aniso rmeas</t>
  </si>
  <si>
    <t>aniso completeness (spherical)</t>
  </si>
  <si>
    <t>Twin fraction</t>
  </si>
  <si>
    <t xml:space="preserve">distance to origin </t>
  </si>
  <si>
    <t>Height relative to origin</t>
  </si>
  <si>
    <t>Unit-cell solvent content</t>
  </si>
  <si>
    <t>searched for?</t>
  </si>
  <si>
    <t>LLG</t>
  </si>
  <si>
    <t>TFZ</t>
  </si>
  <si>
    <t>fit to dens</t>
  </si>
  <si>
    <t>poly seen, termini match?</t>
  </si>
  <si>
    <t>SSRL00268</t>
  </si>
  <si>
    <t>cassette</t>
  </si>
  <si>
    <t>A1</t>
  </si>
  <si>
    <t>SSRL88217 barcode pin</t>
  </si>
  <si>
    <t>A2</t>
  </si>
  <si>
    <t>Unknown 2TEL-KQ-VPS34</t>
  </si>
  <si>
    <t>Index F6</t>
  </si>
  <si>
    <t>Wisdom</t>
  </si>
  <si>
    <t>no diffraction,no ice</t>
  </si>
  <si>
    <t>A3</t>
  </si>
  <si>
    <t>A4</t>
  </si>
  <si>
    <t>SUMO-1T-PA-UBA</t>
  </si>
  <si>
    <t>Plate</t>
  </si>
  <si>
    <t>E1 Xtal 5mg</t>
  </si>
  <si>
    <t xml:space="preserve">Aidan </t>
  </si>
  <si>
    <t>A5</t>
  </si>
  <si>
    <t>A6</t>
  </si>
  <si>
    <t>His-HSP47 5 mg/Ml</t>
  </si>
  <si>
    <t>Short Rod</t>
  </si>
  <si>
    <t>Salt Rx (E3), 1.5 M Ammonium phosphate dibasic; 0.1 M Tris pH8.5</t>
  </si>
  <si>
    <t>Prasadika</t>
  </si>
  <si>
    <t>no diffraction, ice</t>
  </si>
  <si>
    <t>A7</t>
  </si>
  <si>
    <t>His-HSP47 5 mg/mL</t>
  </si>
  <si>
    <t>A8</t>
  </si>
  <si>
    <t>no diffraction, no ice</t>
  </si>
  <si>
    <t>B1</t>
  </si>
  <si>
    <t>B2</t>
  </si>
  <si>
    <t>B3</t>
  </si>
  <si>
    <t>B4</t>
  </si>
  <si>
    <t>2T-R-HSP47 24mg/ml 8-01-2025</t>
  </si>
  <si>
    <t>long Rod</t>
  </si>
  <si>
    <t>Salt RX D1-1</t>
  </si>
  <si>
    <t>diffracted. 3 A, not collected</t>
  </si>
  <si>
    <t>B5</t>
  </si>
  <si>
    <t>diffracted. 2 A, collected</t>
  </si>
  <si>
    <t>Smeary</t>
  </si>
  <si>
    <t>1049-1782</t>
  </si>
  <si>
    <t>N/A</t>
  </si>
  <si>
    <t>C2</t>
  </si>
  <si>
    <t>141.185 54.122 141.207 90.000 119.856 90.000</t>
  </si>
  <si>
    <t>B6</t>
  </si>
  <si>
    <t>Empty loop</t>
  </si>
  <si>
    <t>2t</t>
  </si>
  <si>
    <t>B7</t>
  </si>
  <si>
    <t>Salt RX D1-2</t>
  </si>
  <si>
    <t>B8</t>
  </si>
  <si>
    <t>Salt RX D1-3</t>
  </si>
  <si>
    <t>142.540 53.734 142.590 90.000 120.041 90.000</t>
  </si>
  <si>
    <t>C1</t>
  </si>
  <si>
    <t>2T-F-HSP47 20mg/ml 8-13-2025</t>
  </si>
  <si>
    <t>Salt RX D2</t>
  </si>
  <si>
    <t>C3</t>
  </si>
  <si>
    <t>C4</t>
  </si>
  <si>
    <t>His-2T-R-HSP47 5.3mg/mL</t>
  </si>
  <si>
    <t>Rod</t>
  </si>
  <si>
    <t>Salt Rx A3</t>
  </si>
  <si>
    <t>Broken Loop</t>
  </si>
  <si>
    <t>C5</t>
  </si>
  <si>
    <t>Rectangular Prism</t>
  </si>
  <si>
    <t>Salt Rx (E10), 1.8 M Sodium phosphate monobasic monohydrate; Potassium phosphate dibasic / pH8.2</t>
  </si>
  <si>
    <t>C6</t>
  </si>
  <si>
    <t>long rods</t>
  </si>
  <si>
    <t xml:space="preserve">low diffraction </t>
  </si>
  <si>
    <t>C7</t>
  </si>
  <si>
    <t>smeary, some ice, 4.4 A</t>
  </si>
  <si>
    <t>C8</t>
  </si>
  <si>
    <t>diffracted. 3.9 A</t>
  </si>
  <si>
    <t>D1</t>
  </si>
  <si>
    <t>no diffraction.</t>
  </si>
  <si>
    <t>D2</t>
  </si>
  <si>
    <t>no crystal</t>
  </si>
  <si>
    <t>D3</t>
  </si>
  <si>
    <t>VWA+CID3 6-27-25 16MG/ML</t>
  </si>
  <si>
    <t>LONG NEEDLES</t>
  </si>
  <si>
    <t>CRYSTAL SCREEN G3</t>
  </si>
  <si>
    <t>D4</t>
  </si>
  <si>
    <t>CRYSTAL SCREEN D7</t>
  </si>
  <si>
    <t>D5</t>
  </si>
  <si>
    <t>HSP47 7/30/25 5 mg/mL</t>
  </si>
  <si>
    <t>INDEX H5</t>
  </si>
  <si>
    <t>D6</t>
  </si>
  <si>
    <t>INDEX B7</t>
  </si>
  <si>
    <t>ice</t>
  </si>
  <si>
    <t>D7</t>
  </si>
  <si>
    <t>ice, no crystal</t>
  </si>
  <si>
    <t>D8</t>
  </si>
  <si>
    <t>several microcrystals, no diffraction</t>
  </si>
  <si>
    <t>E1</t>
  </si>
  <si>
    <t>Prism</t>
  </si>
  <si>
    <t>SLAT RX E7</t>
  </si>
  <si>
    <t>E2</t>
  </si>
  <si>
    <t>E3</t>
  </si>
  <si>
    <t>E4</t>
  </si>
  <si>
    <t>E5</t>
  </si>
  <si>
    <t>His-2T-R-HSP47 24mg/mL</t>
  </si>
  <si>
    <t>Long Rod</t>
  </si>
  <si>
    <t>Salt RX B-11-1</t>
  </si>
  <si>
    <t>E6</t>
  </si>
  <si>
    <t>E7</t>
  </si>
  <si>
    <t>diffracted, 3.4 A</t>
  </si>
  <si>
    <t>E8</t>
  </si>
  <si>
    <t>diffracted, 3 A</t>
  </si>
  <si>
    <t>F1</t>
  </si>
  <si>
    <t>smeary, some ice, 4.0 A</t>
  </si>
  <si>
    <t>F2</t>
  </si>
  <si>
    <t>smeary, 3.4 A</t>
  </si>
  <si>
    <t>F3</t>
  </si>
  <si>
    <t>diffracted, 3.0 A</t>
  </si>
  <si>
    <t>F4</t>
  </si>
  <si>
    <t>F5</t>
  </si>
  <si>
    <t>F6</t>
  </si>
  <si>
    <t>diffracted, 3.5, smeary at some angles</t>
  </si>
  <si>
    <t>F7</t>
  </si>
  <si>
    <t>very smeary, ice, low diffraction</t>
  </si>
  <si>
    <t>F8</t>
  </si>
  <si>
    <t>diffracted, 3.6 A</t>
  </si>
  <si>
    <t>G1</t>
  </si>
  <si>
    <t>Some microcrystals. Low diffraction.</t>
  </si>
  <si>
    <t>G2</t>
  </si>
  <si>
    <t>Salt RX B-11-2</t>
  </si>
  <si>
    <t>G3</t>
  </si>
  <si>
    <t>G4</t>
  </si>
  <si>
    <t>G5</t>
  </si>
  <si>
    <t>G6</t>
  </si>
  <si>
    <t>G7</t>
  </si>
  <si>
    <t>Salt RX A5-2</t>
  </si>
  <si>
    <t>ice, low diffraction</t>
  </si>
  <si>
    <t>G8</t>
  </si>
  <si>
    <t>H1</t>
  </si>
  <si>
    <t>1T-VWA-CID3 16mg/mL</t>
  </si>
  <si>
    <t>Needles</t>
  </si>
  <si>
    <t>Crystal Screen (D7)</t>
  </si>
  <si>
    <t>H2</t>
  </si>
  <si>
    <t>H3</t>
  </si>
  <si>
    <t>no diffraction</t>
  </si>
  <si>
    <t>H4</t>
  </si>
  <si>
    <t>diffracted, 4.0 A</t>
  </si>
  <si>
    <t>H5</t>
  </si>
  <si>
    <t>Salt Rx A4</t>
  </si>
  <si>
    <t>H6</t>
  </si>
  <si>
    <t>diffracted. 3.0 A. Twinning, 20% transmission</t>
  </si>
  <si>
    <t>Hexagonal, smeared</t>
  </si>
  <si>
    <t>P63</t>
  </si>
  <si>
    <t>138.692 138.692 57.242 90.0 90.0 120.0</t>
  </si>
  <si>
    <t>H7</t>
  </si>
  <si>
    <t>diffracted. 2.8 A, 20% transmision</t>
  </si>
  <si>
    <t>140.295 140.295 55.276 90.0 90.0 120.0</t>
  </si>
  <si>
    <t>H8</t>
  </si>
  <si>
    <t>I1</t>
  </si>
  <si>
    <t>diffracted, 2.5 A, ?20? transmission</t>
  </si>
  <si>
    <t>Incorrectly collected</t>
  </si>
  <si>
    <t>I2</t>
  </si>
  <si>
    <t>diffracted, very mosaic/smeary</t>
  </si>
  <si>
    <t>I3</t>
  </si>
  <si>
    <t>Big Rod</t>
  </si>
  <si>
    <t>Salt Rx (D1-2)</t>
  </si>
  <si>
    <t>2.7 A, Collected</t>
  </si>
  <si>
    <t>141.357 141.357 54.399 90.0 90.0 120.0</t>
  </si>
  <si>
    <t>I4</t>
  </si>
  <si>
    <t>Salt Rx (D6-2)</t>
  </si>
  <si>
    <t>poor diffraction. Crystal too small. 4.16 A Vis</t>
  </si>
  <si>
    <t>I5</t>
  </si>
  <si>
    <t>too many crystals in loop; one isolated crystal showed no diffraction</t>
  </si>
  <si>
    <t>I6</t>
  </si>
  <si>
    <t>empty loop</t>
  </si>
  <si>
    <t>I7</t>
  </si>
  <si>
    <t>Fly</t>
  </si>
  <si>
    <t>Salt Rx (E4-2)</t>
  </si>
  <si>
    <t>too much ice no crystal detected &amp; no diffraction</t>
  </si>
  <si>
    <t>I8</t>
  </si>
  <si>
    <t>big crystal, no diffraction, ice rings</t>
  </si>
  <si>
    <t>J1</t>
  </si>
  <si>
    <t>ice rings, no diffraction, a couple smeary spots</t>
  </si>
  <si>
    <t>J2</t>
  </si>
  <si>
    <t>J3</t>
  </si>
  <si>
    <t>J4</t>
  </si>
  <si>
    <t>SUMO1T-PA-UBA</t>
  </si>
  <si>
    <t>Thin Rods</t>
  </si>
  <si>
    <t>A1 Index 1mg</t>
  </si>
  <si>
    <t>Aidan</t>
  </si>
  <si>
    <t>Too many crystals in the loop; tried isolating one crystal but gave very smeary diffraction</t>
  </si>
  <si>
    <t>J5</t>
  </si>
  <si>
    <t>Sea Urchin</t>
  </si>
  <si>
    <t>A2 Index 5mg</t>
  </si>
  <si>
    <t>J6</t>
  </si>
  <si>
    <t>A3 Index 5mg</t>
  </si>
  <si>
    <t>salt</t>
  </si>
  <si>
    <t>J7</t>
  </si>
  <si>
    <t>F6 Index 5mg</t>
  </si>
  <si>
    <t>J8</t>
  </si>
  <si>
    <t xml:space="preserve">empty </t>
  </si>
  <si>
    <t>K1</t>
  </si>
  <si>
    <t>F6 Index 1mg</t>
  </si>
  <si>
    <t>salt, smeary spots, bad diffraction</t>
  </si>
  <si>
    <t>K2</t>
  </si>
  <si>
    <t>K3</t>
  </si>
  <si>
    <t>F8 Index 5mg</t>
  </si>
  <si>
    <t>K4</t>
  </si>
  <si>
    <t>super smeary diffraction</t>
  </si>
  <si>
    <t>K5</t>
  </si>
  <si>
    <t>F9 Index 5mg</t>
  </si>
  <si>
    <t>some smeary spots, didn't collect</t>
  </si>
  <si>
    <t>K6</t>
  </si>
  <si>
    <t>too much ice, no good diffraction</t>
  </si>
  <si>
    <t>K7</t>
  </si>
  <si>
    <t>couple smeary spots, likely salt</t>
  </si>
  <si>
    <t>K8</t>
  </si>
  <si>
    <t>a lot of ice rings, smeary spots, maybe salt</t>
  </si>
  <si>
    <t>L1</t>
  </si>
  <si>
    <t>smeary poor diffraction, lots of ice rings, maybe salt</t>
  </si>
  <si>
    <t>L2</t>
  </si>
  <si>
    <t>C8 Wizard 5mg</t>
  </si>
  <si>
    <t>a lot of ice rings, a couple of spots but not very good</t>
  </si>
  <si>
    <t>L3</t>
  </si>
  <si>
    <t>GFP-med-1TEL-SR-DARPin</t>
  </si>
  <si>
    <t>Long Needle</t>
  </si>
  <si>
    <t>Xtal D3 26.7mg</t>
  </si>
  <si>
    <t>ice, few spots, smeary diffraction</t>
  </si>
  <si>
    <t>L4</t>
  </si>
  <si>
    <t>hard to align the crystal; a lot of ice; a few spots, some smeary; maybe salt</t>
  </si>
  <si>
    <t>L5</t>
  </si>
  <si>
    <t>Big Rough Plate</t>
  </si>
  <si>
    <t>B8 Wizard 5mg</t>
  </si>
  <si>
    <t>too many crystals in loop, can't isolate one</t>
  </si>
  <si>
    <t>L6</t>
  </si>
  <si>
    <t>Rough Rod's</t>
  </si>
  <si>
    <t>B4 Xtal 5mg</t>
  </si>
  <si>
    <t>Salt</t>
  </si>
  <si>
    <t>L7</t>
  </si>
  <si>
    <t>B3 Xtal 5mg</t>
  </si>
  <si>
    <t>Icy</t>
  </si>
  <si>
    <t>L8</t>
  </si>
  <si>
    <t>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</si>
</sst>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10">
    <font>
      <sz val="11"/>
      <color theme="1"/>
      <name val="Aptos Narrow"/>
      <family val="2"/>
      <scheme val="minor"/>
    </font>
    <font>
      <sz val="10"/>
      <name val="Arial"/>
      <family val="2"/>
      <charset val="1"/>
    </font>
    <font>
      <b/>
      <sz val="10"/>
      <color rgb="FF4F81BD"/>
      <name val="Arial"/>
    </font>
    <font>
      <sz val="10"/>
      <color rgb="FF000000"/>
      <name val="Arial"/>
    </font>
    <font>
      <sz val="8"/>
      <name val="Aptos Narrow"/>
      <family val="2"/>
      <scheme val="minor"/>
    </font>
    <font>
      <sz val="10"/>
      <color rgb="FF000000"/>
      <name val="Calibri"/>
    </font>
    <font>
      <sz val="10"/>
      <name val="Arial"/>
      <family val="2"/>
    </font>
    <font>
      <b/>
      <sz val="10"/>
      <name val="Arial"/>
      <family val="2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55"/>
        <bgColor indexed="23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59999389629810485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3">
    <xf numFmtId="0" fontId="0" fillId="0" borderId="0"/>
    <xf numFmtId="0" fontId="1" fillId="0" borderId="0"/>
    <xf numFmtId="0" fontId="6" fillId="0" borderId="0"/>
  </cellStyleXfs>
  <cellXfs count="37">
    <xf numFmtId="0" fontId="0" fillId="0" borderId="0" xfId="0"/>
    <xf numFmtId="49" fontId="0" fillId="2" borderId="1" xfId="0" applyNumberFormat="1" applyFill="1" applyBorder="1"/>
    <xf numFmtId="0" fontId="1" fillId="3" borderId="1" xfId="0" applyFont="1" applyFill="1" applyBorder="1"/>
    <xf numFmtId="0" fontId="2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left"/>
    </xf>
    <xf numFmtId="0" fontId="0" fillId="3" borderId="1" xfId="0" applyFill="1" applyBorder="1"/>
    <xf numFmtId="0" fontId="3" fillId="3" borderId="1" xfId="0" applyFont="1" applyFill="1" applyBorder="1" applyAlignment="1">
      <alignment horizontal="center" wrapText="1"/>
    </xf>
    <xf numFmtId="0" fontId="0" fillId="0" borderId="1" xfId="0" applyBorder="1"/>
    <xf numFmtId="0" fontId="1" fillId="4" borderId="1" xfId="0" applyFont="1" applyFill="1" applyBorder="1"/>
    <xf numFmtId="0" fontId="2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left"/>
    </xf>
    <xf numFmtId="0" fontId="3" fillId="5" borderId="1" xfId="0" applyFont="1" applyFill="1" applyBorder="1" applyAlignment="1">
      <alignment horizontal="center" wrapText="1"/>
    </xf>
    <xf numFmtId="0" fontId="0" fillId="4" borderId="1" xfId="0" applyFill="1" applyBorder="1"/>
    <xf numFmtId="0" fontId="3" fillId="4" borderId="1" xfId="0" applyFont="1" applyFill="1" applyBorder="1" applyAlignment="1">
      <alignment horizontal="center" wrapText="1"/>
    </xf>
    <xf numFmtId="0" fontId="1" fillId="6" borderId="1" xfId="0" applyFont="1" applyFill="1" applyBorder="1"/>
    <xf numFmtId="0" fontId="2" fillId="6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left"/>
    </xf>
    <xf numFmtId="0" fontId="3" fillId="6" borderId="1" xfId="0" applyFont="1" applyFill="1" applyBorder="1" applyAlignment="1">
      <alignment horizontal="center" wrapText="1"/>
    </xf>
    <xf numFmtId="0" fontId="0" fillId="6" borderId="1" xfId="0" applyFill="1" applyBorder="1"/>
    <xf numFmtId="0" fontId="3" fillId="7" borderId="1" xfId="0" applyFont="1" applyFill="1" applyBorder="1" applyAlignment="1">
      <alignment horizontal="left"/>
    </xf>
    <xf numFmtId="0" fontId="1" fillId="8" borderId="1" xfId="0" applyFont="1" applyFill="1" applyBorder="1"/>
    <xf numFmtId="0" fontId="2" fillId="8" borderId="1" xfId="0" applyFont="1" applyFill="1" applyBorder="1" applyAlignment="1">
      <alignment horizontal="center"/>
    </xf>
    <xf numFmtId="0" fontId="3" fillId="8" borderId="1" xfId="0" applyFont="1" applyFill="1" applyBorder="1" applyAlignment="1">
      <alignment horizontal="left"/>
    </xf>
    <xf numFmtId="0" fontId="0" fillId="8" borderId="1" xfId="0" applyFill="1" applyBorder="1"/>
    <xf numFmtId="0" fontId="5" fillId="5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49" fontId="0" fillId="2" borderId="2" xfId="0" applyNumberFormat="1" applyFill="1" applyBorder="1" applyAlignment="1">
      <alignment horizontal="center"/>
    </xf>
    <xf numFmtId="164" fontId="1" fillId="0" borderId="0" xfId="1" applyNumberFormat="1" applyAlignment="1">
      <alignment horizontal="center"/>
    </xf>
    <xf numFmtId="49" fontId="0" fillId="2" borderId="1" xfId="0" applyNumberFormat="1" applyFill="1" applyBorder="1" applyAlignment="1">
      <alignment horizontal="center"/>
    </xf>
    <xf numFmtId="49" fontId="7" fillId="0" borderId="0" xfId="2" applyNumberFormat="1" applyFont="1" applyAlignment="1">
      <alignment horizontal="left"/>
    </xf>
    <xf numFmtId="49" fontId="7" fillId="0" borderId="0" xfId="2" applyNumberFormat="1" applyFont="1" applyAlignment="1">
      <alignment horizontal="center"/>
    </xf>
    <xf numFmtId="49" fontId="8" fillId="2" borderId="3" xfId="0" applyNumberFormat="1" applyFont="1" applyFill="1" applyBorder="1" applyAlignment="1">
      <alignment horizontal="center" textRotation="90"/>
    </xf>
    <xf numFmtId="49" fontId="8" fillId="2" borderId="4" xfId="0" applyNumberFormat="1" applyFont="1" applyFill="1" applyBorder="1" applyAlignment="1">
      <alignment horizontal="center" textRotation="90"/>
    </xf>
    <xf numFmtId="49" fontId="8" fillId="2" borderId="2" xfId="0" applyNumberFormat="1" applyFont="1" applyFill="1" applyBorder="1" applyAlignment="1">
      <alignment horizontal="center" textRotation="90"/>
    </xf>
    <xf numFmtId="49" fontId="8" fillId="9" borderId="2" xfId="0" applyNumberFormat="1" applyFont="1" applyFill="1" applyBorder="1" applyAlignment="1">
      <alignment horizontal="center" textRotation="90"/>
    </xf>
    <xf numFmtId="0" fontId="0" fillId="10" borderId="1" xfId="0" applyFill="1" applyBorder="1"/>
    <xf numFmtId="0" fontId="9" fillId="0" borderId="1" xfId="0" applyFont="1" applyBorder="1"/>
  </cellXfs>
  <cellStyles count="3">
    <cellStyle name="Normal" xfId="0" builtinId="0"/>
    <cellStyle name="Normal 2" xfId="2" xr:uid="{079917A1-AE85-4E1E-87F3-C46E027CC3BA}"/>
    <cellStyle name="Normal 3" xfId="1" xr:uid="{7DB30404-D6F7-45DA-90B2-3AAF95E1D9A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D5F0C-F74D-48CA-AAF3-1BB8C4B28493}">
  <dimension ref="A1:AL99"/>
  <sheetViews>
    <sheetView tabSelected="1" workbookViewId="0">
      <pane ySplit="1" topLeftCell="S2" activePane="bottomLeft" state="frozen"/>
      <selection pane="bottomLeft" activeCell="Y1" sqref="Y1"/>
    </sheetView>
  </sheetViews>
  <sheetFormatPr defaultRowHeight="15"/>
  <cols>
    <col min="1" max="2" width="13.5703125" style="7" customWidth="1"/>
    <col min="3" max="4" width="9.140625" style="7" customWidth="1"/>
    <col min="5" max="5" width="44.42578125" style="7" customWidth="1"/>
    <col min="6" max="6" width="9.140625" style="7"/>
    <col min="7" max="7" width="27.140625" style="7" customWidth="1"/>
    <col min="8" max="8" width="9.140625" style="7" customWidth="1"/>
    <col min="9" max="9" width="88.140625" style="7" customWidth="1"/>
    <col min="10" max="11" width="9.140625" style="7" customWidth="1"/>
    <col min="12" max="12" width="27.7109375" style="7" customWidth="1"/>
    <col min="13" max="13" width="40.28515625" style="7" customWidth="1"/>
    <col min="14" max="15" width="9.140625" style="7"/>
    <col min="16" max="16" width="8.42578125" style="7" customWidth="1"/>
    <col min="17" max="17" width="9.140625" style="7"/>
    <col min="18" max="18" width="10.5703125" style="7" customWidth="1"/>
    <col min="19" max="20" width="9.140625" style="7"/>
    <col min="21" max="21" width="41.42578125" style="7" customWidth="1"/>
    <col min="22" max="16384" width="9.140625" style="7"/>
  </cols>
  <sheetData>
    <row r="1" spans="1:38" s="1" customFormat="1" ht="150">
      <c r="A1" s="1" t="s">
        <v>0</v>
      </c>
      <c r="B1" s="26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1" t="s">
        <v>12</v>
      </c>
      <c r="N1" s="32" t="s">
        <v>13</v>
      </c>
      <c r="O1" s="33" t="s">
        <v>14</v>
      </c>
      <c r="P1" s="33" t="s">
        <v>15</v>
      </c>
      <c r="Q1" s="33" t="s">
        <v>16</v>
      </c>
      <c r="R1" s="33" t="s">
        <v>17</v>
      </c>
      <c r="S1" s="33" t="s">
        <v>18</v>
      </c>
      <c r="T1" s="33" t="s">
        <v>19</v>
      </c>
      <c r="U1" s="33" t="s">
        <v>20</v>
      </c>
      <c r="V1" s="34" t="s">
        <v>21</v>
      </c>
      <c r="W1" s="33" t="s">
        <v>22</v>
      </c>
      <c r="X1" s="33" t="s">
        <v>23</v>
      </c>
      <c r="Y1" s="33" t="s">
        <v>24</v>
      </c>
      <c r="Z1" s="33" t="s">
        <v>25</v>
      </c>
      <c r="AA1" s="33" t="s">
        <v>26</v>
      </c>
      <c r="AB1" s="33" t="s">
        <v>27</v>
      </c>
      <c r="AC1" s="33" t="s">
        <v>28</v>
      </c>
      <c r="AD1" s="33" t="s">
        <v>29</v>
      </c>
      <c r="AE1" s="33" t="s">
        <v>30</v>
      </c>
      <c r="AF1" s="33" t="s">
        <v>31</v>
      </c>
      <c r="AG1" s="33" t="s">
        <v>32</v>
      </c>
      <c r="AH1" s="33" t="s">
        <v>33</v>
      </c>
      <c r="AI1" s="33" t="s">
        <v>34</v>
      </c>
      <c r="AJ1" s="33" t="s">
        <v>35</v>
      </c>
      <c r="AK1" s="33" t="s">
        <v>36</v>
      </c>
      <c r="AL1" s="33" t="s">
        <v>37</v>
      </c>
    </row>
    <row r="2" spans="1:38" s="1" customFormat="1">
      <c r="A2" s="2" t="s">
        <v>38</v>
      </c>
      <c r="B2" s="27" t="s">
        <v>39</v>
      </c>
      <c r="C2" s="30" t="s">
        <v>40</v>
      </c>
      <c r="D2" s="30" t="s">
        <v>40</v>
      </c>
      <c r="E2" s="29" t="s">
        <v>41</v>
      </c>
      <c r="F2" s="28" t="s">
        <v>40</v>
      </c>
    </row>
    <row r="3" spans="1:38">
      <c r="A3" s="2" t="s">
        <v>38</v>
      </c>
      <c r="B3" s="27" t="s">
        <v>39</v>
      </c>
      <c r="C3" s="3" t="s">
        <v>42</v>
      </c>
      <c r="D3" s="3" t="s">
        <v>42</v>
      </c>
      <c r="E3" s="4" t="s">
        <v>43</v>
      </c>
      <c r="F3" s="3" t="s">
        <v>42</v>
      </c>
      <c r="G3" s="5"/>
      <c r="H3" s="5"/>
      <c r="I3" s="6" t="s">
        <v>44</v>
      </c>
      <c r="J3" s="5"/>
      <c r="K3" s="5"/>
      <c r="L3" s="5" t="s">
        <v>45</v>
      </c>
      <c r="M3" s="7" t="s">
        <v>46</v>
      </c>
    </row>
    <row r="4" spans="1:38">
      <c r="A4" s="2" t="s">
        <v>38</v>
      </c>
      <c r="B4" s="27" t="s">
        <v>39</v>
      </c>
      <c r="C4" s="3" t="s">
        <v>47</v>
      </c>
      <c r="D4" s="3" t="s">
        <v>47</v>
      </c>
      <c r="E4" s="4" t="s">
        <v>43</v>
      </c>
      <c r="F4" s="3" t="s">
        <v>47</v>
      </c>
      <c r="G4" s="5"/>
      <c r="H4" s="5"/>
      <c r="I4" s="6" t="s">
        <v>44</v>
      </c>
      <c r="J4" s="5"/>
      <c r="K4" s="5"/>
      <c r="L4" s="5" t="s">
        <v>45</v>
      </c>
      <c r="M4" s="7" t="s">
        <v>46</v>
      </c>
    </row>
    <row r="5" spans="1:38">
      <c r="A5" s="8" t="s">
        <v>38</v>
      </c>
      <c r="B5" s="27" t="s">
        <v>39</v>
      </c>
      <c r="C5" s="9" t="s">
        <v>48</v>
      </c>
      <c r="D5" s="9" t="s">
        <v>48</v>
      </c>
      <c r="E5" s="10" t="s">
        <v>49</v>
      </c>
      <c r="F5" s="9" t="s">
        <v>48</v>
      </c>
      <c r="G5" s="11" t="s">
        <v>50</v>
      </c>
      <c r="H5" s="12"/>
      <c r="I5" s="13" t="s">
        <v>51</v>
      </c>
      <c r="J5" s="12"/>
      <c r="K5" s="12"/>
      <c r="L5" s="12" t="s">
        <v>52</v>
      </c>
      <c r="M5" s="7" t="s">
        <v>46</v>
      </c>
    </row>
    <row r="6" spans="1:38">
      <c r="A6" s="8" t="s">
        <v>38</v>
      </c>
      <c r="B6" s="27" t="s">
        <v>39</v>
      </c>
      <c r="C6" s="9" t="s">
        <v>53</v>
      </c>
      <c r="D6" s="9" t="s">
        <v>53</v>
      </c>
      <c r="E6" s="10" t="s">
        <v>49</v>
      </c>
      <c r="F6" s="9" t="s">
        <v>53</v>
      </c>
      <c r="G6" s="11" t="s">
        <v>50</v>
      </c>
      <c r="H6" s="12"/>
      <c r="I6" s="13" t="s">
        <v>51</v>
      </c>
      <c r="J6" s="12"/>
      <c r="K6" s="12"/>
      <c r="L6" s="12" t="s">
        <v>52</v>
      </c>
      <c r="M6" s="7" t="s">
        <v>46</v>
      </c>
    </row>
    <row r="7" spans="1:38">
      <c r="A7" s="14" t="s">
        <v>38</v>
      </c>
      <c r="B7" s="27" t="s">
        <v>39</v>
      </c>
      <c r="C7" s="15" t="s">
        <v>54</v>
      </c>
      <c r="D7" s="15" t="s">
        <v>54</v>
      </c>
      <c r="E7" s="16" t="s">
        <v>55</v>
      </c>
      <c r="F7" s="15" t="s">
        <v>54</v>
      </c>
      <c r="G7" s="17" t="s">
        <v>56</v>
      </c>
      <c r="H7" s="18"/>
      <c r="I7" s="17" t="s">
        <v>57</v>
      </c>
      <c r="J7" s="18"/>
      <c r="K7" s="18"/>
      <c r="L7" s="18" t="s">
        <v>58</v>
      </c>
      <c r="M7" s="7" t="s">
        <v>59</v>
      </c>
    </row>
    <row r="8" spans="1:38">
      <c r="A8" s="14" t="s">
        <v>38</v>
      </c>
      <c r="B8" s="27" t="s">
        <v>39</v>
      </c>
      <c r="C8" s="15" t="s">
        <v>60</v>
      </c>
      <c r="D8" s="15" t="s">
        <v>60</v>
      </c>
      <c r="E8" s="16" t="s">
        <v>61</v>
      </c>
      <c r="F8" s="15" t="s">
        <v>60</v>
      </c>
      <c r="G8" s="17" t="s">
        <v>56</v>
      </c>
      <c r="H8" s="18"/>
      <c r="I8" s="17" t="s">
        <v>57</v>
      </c>
      <c r="J8" s="18"/>
      <c r="K8" s="18"/>
      <c r="L8" s="18" t="s">
        <v>58</v>
      </c>
      <c r="M8" s="7" t="s">
        <v>59</v>
      </c>
    </row>
    <row r="9" spans="1:38">
      <c r="A9" s="14" t="s">
        <v>38</v>
      </c>
      <c r="B9" s="27" t="s">
        <v>39</v>
      </c>
      <c r="C9" s="15" t="s">
        <v>62</v>
      </c>
      <c r="D9" s="15" t="s">
        <v>62</v>
      </c>
      <c r="E9" s="16" t="s">
        <v>61</v>
      </c>
      <c r="F9" s="15" t="s">
        <v>62</v>
      </c>
      <c r="G9" s="17" t="s">
        <v>56</v>
      </c>
      <c r="H9" s="18"/>
      <c r="I9" s="17" t="s">
        <v>57</v>
      </c>
      <c r="J9" s="18"/>
      <c r="K9" s="18"/>
      <c r="L9" s="18" t="s">
        <v>58</v>
      </c>
      <c r="M9" s="7" t="s">
        <v>63</v>
      </c>
    </row>
    <row r="10" spans="1:38">
      <c r="A10" s="14" t="s">
        <v>38</v>
      </c>
      <c r="B10" s="27" t="s">
        <v>39</v>
      </c>
      <c r="C10" s="15" t="s">
        <v>64</v>
      </c>
      <c r="D10" s="15" t="s">
        <v>64</v>
      </c>
      <c r="E10" s="16" t="s">
        <v>55</v>
      </c>
      <c r="F10" s="15" t="s">
        <v>64</v>
      </c>
      <c r="G10" s="17" t="s">
        <v>56</v>
      </c>
      <c r="H10" s="18"/>
      <c r="I10" s="17" t="s">
        <v>57</v>
      </c>
      <c r="J10" s="18"/>
      <c r="K10" s="18"/>
      <c r="L10" s="18" t="s">
        <v>58</v>
      </c>
      <c r="M10" s="7" t="s">
        <v>63</v>
      </c>
    </row>
    <row r="11" spans="1:38">
      <c r="A11" s="14" t="s">
        <v>38</v>
      </c>
      <c r="B11" s="27" t="s">
        <v>39</v>
      </c>
      <c r="C11" s="15" t="s">
        <v>65</v>
      </c>
      <c r="D11" s="15" t="s">
        <v>65</v>
      </c>
      <c r="E11" s="16" t="s">
        <v>61</v>
      </c>
      <c r="F11" s="15" t="s">
        <v>65</v>
      </c>
      <c r="G11" s="17" t="s">
        <v>56</v>
      </c>
      <c r="H11" s="18"/>
      <c r="I11" s="17" t="s">
        <v>57</v>
      </c>
      <c r="J11" s="18"/>
      <c r="K11" s="18"/>
      <c r="L11" s="18" t="s">
        <v>58</v>
      </c>
      <c r="M11" s="7" t="s">
        <v>59</v>
      </c>
    </row>
    <row r="12" spans="1:38">
      <c r="A12" s="14" t="s">
        <v>38</v>
      </c>
      <c r="B12" s="27" t="s">
        <v>39</v>
      </c>
      <c r="C12" s="15" t="s">
        <v>66</v>
      </c>
      <c r="D12" s="15" t="s">
        <v>66</v>
      </c>
      <c r="E12" s="16" t="s">
        <v>61</v>
      </c>
      <c r="F12" s="15" t="s">
        <v>66</v>
      </c>
      <c r="G12" s="17" t="s">
        <v>56</v>
      </c>
      <c r="H12" s="18"/>
      <c r="I12" s="17" t="s">
        <v>57</v>
      </c>
      <c r="J12" s="18"/>
      <c r="K12" s="18"/>
      <c r="L12" s="18" t="s">
        <v>58</v>
      </c>
      <c r="M12" s="7" t="s">
        <v>63</v>
      </c>
    </row>
    <row r="13" spans="1:38">
      <c r="A13" s="14" t="s">
        <v>38</v>
      </c>
      <c r="B13" s="27" t="s">
        <v>39</v>
      </c>
      <c r="C13" s="15" t="s">
        <v>67</v>
      </c>
      <c r="D13" s="15" t="s">
        <v>67</v>
      </c>
      <c r="E13" s="19" t="s">
        <v>68</v>
      </c>
      <c r="F13" s="15" t="s">
        <v>67</v>
      </c>
      <c r="G13" s="17" t="s">
        <v>69</v>
      </c>
      <c r="H13" s="18"/>
      <c r="I13" s="17" t="s">
        <v>70</v>
      </c>
      <c r="J13" s="18"/>
      <c r="K13" s="18"/>
      <c r="L13" s="18" t="s">
        <v>58</v>
      </c>
      <c r="M13" s="7" t="s">
        <v>71</v>
      </c>
    </row>
    <row r="14" spans="1:38">
      <c r="A14" s="14" t="s">
        <v>38</v>
      </c>
      <c r="B14" s="27" t="s">
        <v>39</v>
      </c>
      <c r="C14" s="15" t="s">
        <v>72</v>
      </c>
      <c r="D14" s="15" t="s">
        <v>72</v>
      </c>
      <c r="E14" s="19" t="s">
        <v>68</v>
      </c>
      <c r="F14" s="15" t="s">
        <v>72</v>
      </c>
      <c r="G14" s="17" t="s">
        <v>69</v>
      </c>
      <c r="H14" s="18"/>
      <c r="I14" s="17" t="s">
        <v>70</v>
      </c>
      <c r="J14" s="18"/>
      <c r="K14" s="18"/>
      <c r="L14" s="18" t="s">
        <v>58</v>
      </c>
      <c r="M14" s="35" t="s">
        <v>73</v>
      </c>
      <c r="N14" s="7" t="s">
        <v>74</v>
      </c>
      <c r="O14" s="7">
        <f>(0.154)/(1-0.162)</f>
        <v>0.18377088305489261</v>
      </c>
      <c r="P14" s="7">
        <v>0.6</v>
      </c>
      <c r="Q14" s="7">
        <v>7.08</v>
      </c>
      <c r="R14" s="7" t="s">
        <v>75</v>
      </c>
      <c r="S14" s="7" t="s">
        <v>76</v>
      </c>
      <c r="T14" s="7" t="s">
        <v>77</v>
      </c>
      <c r="U14" s="7" t="s">
        <v>78</v>
      </c>
      <c r="V14" s="7">
        <v>2.367</v>
      </c>
      <c r="W14" s="7">
        <v>0.29199999999999998</v>
      </c>
      <c r="X14" s="7">
        <v>33963</v>
      </c>
      <c r="Y14" s="7">
        <v>89.1</v>
      </c>
      <c r="Z14" s="7">
        <v>3.5</v>
      </c>
      <c r="AA14" s="7">
        <v>2.3050000000000002</v>
      </c>
      <c r="AB14" s="7">
        <v>0.248</v>
      </c>
      <c r="AC14" s="7">
        <v>43.9</v>
      </c>
    </row>
    <row r="15" spans="1:38">
      <c r="A15" s="14" t="s">
        <v>38</v>
      </c>
      <c r="B15" s="27" t="s">
        <v>39</v>
      </c>
      <c r="C15" s="15" t="s">
        <v>79</v>
      </c>
      <c r="D15" s="15" t="s">
        <v>79</v>
      </c>
      <c r="E15" s="16" t="s">
        <v>68</v>
      </c>
      <c r="F15" s="15" t="s">
        <v>79</v>
      </c>
      <c r="G15" s="17" t="s">
        <v>69</v>
      </c>
      <c r="H15" s="18"/>
      <c r="I15" s="17" t="s">
        <v>70</v>
      </c>
      <c r="J15" s="18"/>
      <c r="K15" s="18"/>
      <c r="L15" s="18" t="s">
        <v>58</v>
      </c>
      <c r="M15" s="7" t="s">
        <v>80</v>
      </c>
      <c r="AD15" s="7" t="s">
        <v>81</v>
      </c>
    </row>
    <row r="16" spans="1:38">
      <c r="A16" s="14" t="s">
        <v>38</v>
      </c>
      <c r="B16" s="27" t="s">
        <v>39</v>
      </c>
      <c r="C16" s="15" t="s">
        <v>82</v>
      </c>
      <c r="D16" s="15" t="s">
        <v>82</v>
      </c>
      <c r="E16" s="16" t="s">
        <v>68</v>
      </c>
      <c r="F16" s="15" t="s">
        <v>82</v>
      </c>
      <c r="G16" s="17" t="s">
        <v>69</v>
      </c>
      <c r="H16" s="18"/>
      <c r="I16" s="17" t="s">
        <v>83</v>
      </c>
      <c r="J16" s="18"/>
      <c r="K16" s="18"/>
      <c r="L16" s="18" t="s">
        <v>58</v>
      </c>
      <c r="M16" s="7" t="s">
        <v>71</v>
      </c>
    </row>
    <row r="17" spans="1:29">
      <c r="A17" s="14" t="s">
        <v>38</v>
      </c>
      <c r="B17" s="27" t="s">
        <v>39</v>
      </c>
      <c r="C17" s="15" t="s">
        <v>84</v>
      </c>
      <c r="D17" s="15" t="s">
        <v>84</v>
      </c>
      <c r="E17" s="16" t="s">
        <v>68</v>
      </c>
      <c r="F17" s="15" t="s">
        <v>84</v>
      </c>
      <c r="G17" s="17" t="s">
        <v>69</v>
      </c>
      <c r="H17" s="18"/>
      <c r="I17" s="17" t="s">
        <v>85</v>
      </c>
      <c r="J17" s="18"/>
      <c r="K17" s="18"/>
      <c r="L17" s="18" t="s">
        <v>58</v>
      </c>
      <c r="M17" s="35" t="s">
        <v>73</v>
      </c>
      <c r="N17" s="7" t="s">
        <v>74</v>
      </c>
      <c r="O17" s="7">
        <f>(0.687)/(1-0.52)</f>
        <v>1.4312500000000001</v>
      </c>
      <c r="P17" s="7">
        <v>0.55000000000000004</v>
      </c>
      <c r="Q17" s="7">
        <v>11.45</v>
      </c>
      <c r="R17" s="7" t="s">
        <v>76</v>
      </c>
      <c r="S17" s="7" t="s">
        <v>76</v>
      </c>
      <c r="T17" s="7" t="s">
        <v>77</v>
      </c>
      <c r="U17" s="7" t="s">
        <v>86</v>
      </c>
      <c r="V17" s="7">
        <v>2.4889999999999999</v>
      </c>
      <c r="W17" s="7">
        <v>0.255</v>
      </c>
      <c r="X17" s="7">
        <v>30211</v>
      </c>
      <c r="Y17" s="7">
        <v>90.9</v>
      </c>
      <c r="Z17" s="7">
        <v>3.4</v>
      </c>
      <c r="AA17" s="7">
        <v>2.63</v>
      </c>
      <c r="AB17" s="7">
        <v>0.17399999999999999</v>
      </c>
      <c r="AC17" s="7">
        <v>55.7</v>
      </c>
    </row>
    <row r="18" spans="1:29">
      <c r="A18" s="14" t="s">
        <v>38</v>
      </c>
      <c r="B18" s="27" t="s">
        <v>39</v>
      </c>
      <c r="C18" s="15" t="s">
        <v>87</v>
      </c>
      <c r="D18" s="15" t="s">
        <v>87</v>
      </c>
      <c r="E18" s="16" t="s">
        <v>88</v>
      </c>
      <c r="F18" s="15" t="s">
        <v>87</v>
      </c>
      <c r="G18" s="17" t="s">
        <v>69</v>
      </c>
      <c r="H18" s="18"/>
      <c r="I18" s="17" t="s">
        <v>89</v>
      </c>
      <c r="J18" s="18"/>
      <c r="K18" s="18"/>
      <c r="L18" s="18" t="s">
        <v>58</v>
      </c>
      <c r="M18" s="7" t="s">
        <v>71</v>
      </c>
    </row>
    <row r="19" spans="1:29">
      <c r="A19" s="14" t="s">
        <v>38</v>
      </c>
      <c r="B19" s="27" t="s">
        <v>39</v>
      </c>
      <c r="C19" s="15" t="s">
        <v>77</v>
      </c>
      <c r="D19" s="15" t="s">
        <v>77</v>
      </c>
      <c r="E19" s="16" t="s">
        <v>88</v>
      </c>
      <c r="F19" s="15" t="s">
        <v>77</v>
      </c>
      <c r="G19" s="17" t="s">
        <v>69</v>
      </c>
      <c r="H19" s="18"/>
      <c r="I19" s="17" t="s">
        <v>89</v>
      </c>
      <c r="J19" s="18"/>
      <c r="K19" s="18"/>
      <c r="L19" s="18" t="s">
        <v>58</v>
      </c>
      <c r="M19" s="7" t="s">
        <v>71</v>
      </c>
    </row>
    <row r="20" spans="1:29">
      <c r="A20" s="14" t="s">
        <v>38</v>
      </c>
      <c r="B20" s="27" t="s">
        <v>39</v>
      </c>
      <c r="C20" s="15" t="s">
        <v>90</v>
      </c>
      <c r="D20" s="15" t="s">
        <v>90</v>
      </c>
      <c r="E20" s="16" t="s">
        <v>88</v>
      </c>
      <c r="F20" s="15" t="s">
        <v>90</v>
      </c>
      <c r="G20" s="17" t="s">
        <v>69</v>
      </c>
      <c r="H20" s="18"/>
      <c r="I20" s="17" t="s">
        <v>89</v>
      </c>
      <c r="J20" s="18"/>
      <c r="K20" s="18"/>
      <c r="L20" s="18" t="s">
        <v>58</v>
      </c>
      <c r="M20" s="7" t="s">
        <v>71</v>
      </c>
    </row>
    <row r="21" spans="1:29">
      <c r="A21" s="14" t="s">
        <v>38</v>
      </c>
      <c r="B21" s="27" t="s">
        <v>39</v>
      </c>
      <c r="C21" s="15" t="s">
        <v>91</v>
      </c>
      <c r="D21" s="15" t="s">
        <v>91</v>
      </c>
      <c r="E21" s="16" t="s">
        <v>92</v>
      </c>
      <c r="F21" s="15" t="s">
        <v>91</v>
      </c>
      <c r="G21" s="17" t="s">
        <v>93</v>
      </c>
      <c r="H21" s="18"/>
      <c r="I21" s="17" t="s">
        <v>94</v>
      </c>
      <c r="J21" s="18"/>
      <c r="K21" s="18"/>
      <c r="L21" s="18" t="s">
        <v>58</v>
      </c>
      <c r="M21" s="7" t="s">
        <v>95</v>
      </c>
    </row>
    <row r="22" spans="1:29" ht="14.25" customHeight="1">
      <c r="A22" s="14" t="s">
        <v>38</v>
      </c>
      <c r="B22" s="27" t="s">
        <v>39</v>
      </c>
      <c r="C22" s="15" t="s">
        <v>96</v>
      </c>
      <c r="D22" s="15" t="s">
        <v>96</v>
      </c>
      <c r="E22" s="16" t="s">
        <v>55</v>
      </c>
      <c r="F22" s="15" t="s">
        <v>96</v>
      </c>
      <c r="G22" s="17" t="s">
        <v>97</v>
      </c>
      <c r="H22" s="18"/>
      <c r="I22" s="17" t="s">
        <v>98</v>
      </c>
      <c r="J22" s="18"/>
      <c r="K22" s="18"/>
      <c r="L22" s="18" t="s">
        <v>58</v>
      </c>
      <c r="M22" s="7" t="s">
        <v>59</v>
      </c>
    </row>
    <row r="23" spans="1:29">
      <c r="A23" s="14" t="s">
        <v>38</v>
      </c>
      <c r="B23" s="27" t="s">
        <v>39</v>
      </c>
      <c r="C23" s="15" t="s">
        <v>99</v>
      </c>
      <c r="D23" s="15" t="s">
        <v>99</v>
      </c>
      <c r="E23" s="16" t="s">
        <v>88</v>
      </c>
      <c r="F23" s="15" t="s">
        <v>99</v>
      </c>
      <c r="G23" s="17" t="s">
        <v>100</v>
      </c>
      <c r="H23" s="18"/>
      <c r="I23" s="17" t="s">
        <v>89</v>
      </c>
      <c r="J23" s="18"/>
      <c r="K23" s="18"/>
      <c r="L23" s="18" t="s">
        <v>58</v>
      </c>
      <c r="M23" s="7" t="s">
        <v>101</v>
      </c>
    </row>
    <row r="24" spans="1:29">
      <c r="A24" s="14" t="s">
        <v>38</v>
      </c>
      <c r="B24" s="27" t="s">
        <v>39</v>
      </c>
      <c r="C24" s="15" t="s">
        <v>102</v>
      </c>
      <c r="D24" s="15" t="s">
        <v>102</v>
      </c>
      <c r="E24" s="16" t="s">
        <v>88</v>
      </c>
      <c r="F24" s="15" t="s">
        <v>102</v>
      </c>
      <c r="G24" s="17" t="s">
        <v>100</v>
      </c>
      <c r="H24" s="18"/>
      <c r="I24" s="17" t="s">
        <v>89</v>
      </c>
      <c r="J24" s="18"/>
      <c r="K24" s="18"/>
      <c r="L24" s="18" t="s">
        <v>58</v>
      </c>
      <c r="M24" s="7" t="s">
        <v>103</v>
      </c>
    </row>
    <row r="25" spans="1:29">
      <c r="A25" s="14" t="s">
        <v>38</v>
      </c>
      <c r="B25" s="27" t="s">
        <v>39</v>
      </c>
      <c r="C25" s="15" t="s">
        <v>104</v>
      </c>
      <c r="D25" s="15" t="s">
        <v>104</v>
      </c>
      <c r="E25" s="16" t="s">
        <v>88</v>
      </c>
      <c r="F25" s="15" t="s">
        <v>104</v>
      </c>
      <c r="G25" s="17" t="s">
        <v>100</v>
      </c>
      <c r="H25" s="18"/>
      <c r="I25" s="17" t="s">
        <v>89</v>
      </c>
      <c r="J25" s="18"/>
      <c r="K25" s="18"/>
      <c r="L25" s="18" t="s">
        <v>58</v>
      </c>
      <c r="M25" s="7" t="s">
        <v>105</v>
      </c>
    </row>
    <row r="26" spans="1:29" ht="26.25">
      <c r="A26" s="14" t="s">
        <v>38</v>
      </c>
      <c r="B26" s="27" t="s">
        <v>39</v>
      </c>
      <c r="C26" s="15" t="s">
        <v>106</v>
      </c>
      <c r="D26" s="15" t="s">
        <v>106</v>
      </c>
      <c r="E26" s="16" t="s">
        <v>61</v>
      </c>
      <c r="F26" s="15" t="s">
        <v>106</v>
      </c>
      <c r="G26" s="17" t="s">
        <v>97</v>
      </c>
      <c r="H26" s="18"/>
      <c r="I26" s="17" t="s">
        <v>98</v>
      </c>
      <c r="J26" s="18"/>
      <c r="K26" s="18"/>
      <c r="L26" s="18" t="s">
        <v>58</v>
      </c>
      <c r="M26" s="7" t="s">
        <v>107</v>
      </c>
    </row>
    <row r="27" spans="1:29" ht="26.25">
      <c r="A27" s="14" t="s">
        <v>38</v>
      </c>
      <c r="B27" s="27" t="s">
        <v>39</v>
      </c>
      <c r="C27" s="15" t="s">
        <v>108</v>
      </c>
      <c r="D27" s="15" t="s">
        <v>108</v>
      </c>
      <c r="E27" s="16" t="s">
        <v>61</v>
      </c>
      <c r="F27" s="15" t="s">
        <v>108</v>
      </c>
      <c r="G27" s="17" t="s">
        <v>97</v>
      </c>
      <c r="H27" s="18"/>
      <c r="I27" s="17" t="s">
        <v>98</v>
      </c>
      <c r="J27" s="18"/>
      <c r="K27" s="18"/>
      <c r="L27" s="18" t="s">
        <v>58</v>
      </c>
      <c r="M27" s="7" t="s">
        <v>109</v>
      </c>
    </row>
    <row r="28" spans="1:29">
      <c r="A28" s="14" t="s">
        <v>38</v>
      </c>
      <c r="B28" s="27" t="s">
        <v>39</v>
      </c>
      <c r="C28" s="15" t="s">
        <v>110</v>
      </c>
      <c r="D28" s="15" t="s">
        <v>110</v>
      </c>
      <c r="E28" s="16" t="s">
        <v>111</v>
      </c>
      <c r="F28" s="15" t="s">
        <v>110</v>
      </c>
      <c r="G28" s="17" t="s">
        <v>112</v>
      </c>
      <c r="H28" s="18"/>
      <c r="I28" s="17" t="s">
        <v>113</v>
      </c>
      <c r="J28" s="18"/>
      <c r="K28" s="18"/>
      <c r="L28" s="18" t="s">
        <v>58</v>
      </c>
      <c r="M28" s="7" t="s">
        <v>109</v>
      </c>
    </row>
    <row r="29" spans="1:29">
      <c r="A29" s="14" t="s">
        <v>38</v>
      </c>
      <c r="B29" s="27" t="s">
        <v>39</v>
      </c>
      <c r="C29" s="15" t="s">
        <v>114</v>
      </c>
      <c r="D29" s="15" t="s">
        <v>114</v>
      </c>
      <c r="E29" s="16" t="s">
        <v>111</v>
      </c>
      <c r="F29" s="15" t="s">
        <v>114</v>
      </c>
      <c r="G29" s="17" t="s">
        <v>112</v>
      </c>
      <c r="H29" s="18"/>
      <c r="I29" s="17" t="s">
        <v>115</v>
      </c>
      <c r="J29" s="18"/>
      <c r="K29" s="18"/>
      <c r="L29" s="18" t="s">
        <v>58</v>
      </c>
      <c r="M29" s="7" t="s">
        <v>109</v>
      </c>
    </row>
    <row r="30" spans="1:29">
      <c r="A30" s="14" t="s">
        <v>38</v>
      </c>
      <c r="B30" s="27" t="s">
        <v>39</v>
      </c>
      <c r="C30" s="15" t="s">
        <v>116</v>
      </c>
      <c r="D30" s="15" t="s">
        <v>116</v>
      </c>
      <c r="E30" s="16" t="s">
        <v>117</v>
      </c>
      <c r="F30" s="15" t="s">
        <v>116</v>
      </c>
      <c r="G30" s="17" t="s">
        <v>93</v>
      </c>
      <c r="H30" s="18"/>
      <c r="I30" s="17" t="s">
        <v>118</v>
      </c>
      <c r="J30" s="18"/>
      <c r="K30" s="18"/>
      <c r="L30" s="18" t="s">
        <v>58</v>
      </c>
      <c r="M30" s="7" t="s">
        <v>109</v>
      </c>
    </row>
    <row r="31" spans="1:29">
      <c r="A31" s="14" t="s">
        <v>38</v>
      </c>
      <c r="B31" s="27" t="s">
        <v>39</v>
      </c>
      <c r="C31" s="15" t="s">
        <v>119</v>
      </c>
      <c r="D31" s="15" t="s">
        <v>119</v>
      </c>
      <c r="E31" s="16" t="s">
        <v>117</v>
      </c>
      <c r="F31" s="15" t="s">
        <v>119</v>
      </c>
      <c r="G31" s="17" t="s">
        <v>93</v>
      </c>
      <c r="H31" s="18"/>
      <c r="I31" s="17" t="s">
        <v>120</v>
      </c>
      <c r="J31" s="18"/>
      <c r="K31" s="18"/>
      <c r="L31" s="18" t="s">
        <v>58</v>
      </c>
      <c r="M31" s="7" t="s">
        <v>121</v>
      </c>
    </row>
    <row r="32" spans="1:29">
      <c r="A32" s="14" t="s">
        <v>38</v>
      </c>
      <c r="B32" s="27" t="s">
        <v>39</v>
      </c>
      <c r="C32" s="15" t="s">
        <v>122</v>
      </c>
      <c r="D32" s="15" t="s">
        <v>122</v>
      </c>
      <c r="E32" s="16" t="s">
        <v>117</v>
      </c>
      <c r="F32" s="15" t="s">
        <v>122</v>
      </c>
      <c r="G32" s="17" t="s">
        <v>93</v>
      </c>
      <c r="H32" s="18"/>
      <c r="I32" s="17" t="s">
        <v>120</v>
      </c>
      <c r="J32" s="18"/>
      <c r="K32" s="18"/>
      <c r="L32" s="18" t="s">
        <v>58</v>
      </c>
      <c r="M32" s="7" t="s">
        <v>123</v>
      </c>
    </row>
    <row r="33" spans="1:13">
      <c r="A33" s="14" t="s">
        <v>38</v>
      </c>
      <c r="B33" s="27" t="s">
        <v>39</v>
      </c>
      <c r="C33" s="15" t="s">
        <v>124</v>
      </c>
      <c r="D33" s="15" t="s">
        <v>124</v>
      </c>
      <c r="E33" s="16" t="s">
        <v>117</v>
      </c>
      <c r="F33" s="15" t="s">
        <v>124</v>
      </c>
      <c r="G33" s="17" t="s">
        <v>93</v>
      </c>
      <c r="H33" s="18"/>
      <c r="I33" s="17" t="s">
        <v>120</v>
      </c>
      <c r="J33" s="18"/>
      <c r="K33" s="18"/>
      <c r="L33" s="18" t="s">
        <v>58</v>
      </c>
      <c r="M33" s="7" t="s">
        <v>125</v>
      </c>
    </row>
    <row r="34" spans="1:13">
      <c r="A34" s="14" t="s">
        <v>38</v>
      </c>
      <c r="B34" s="27" t="s">
        <v>39</v>
      </c>
      <c r="C34" s="15" t="s">
        <v>126</v>
      </c>
      <c r="D34" s="15" t="s">
        <v>126</v>
      </c>
      <c r="E34" s="16" t="s">
        <v>117</v>
      </c>
      <c r="F34" s="15" t="s">
        <v>126</v>
      </c>
      <c r="G34" s="17" t="s">
        <v>127</v>
      </c>
      <c r="H34" s="18"/>
      <c r="I34" s="17" t="s">
        <v>128</v>
      </c>
      <c r="J34" s="18"/>
      <c r="K34" s="18"/>
      <c r="L34" s="18" t="s">
        <v>58</v>
      </c>
      <c r="M34" s="7" t="s">
        <v>123</v>
      </c>
    </row>
    <row r="35" spans="1:13">
      <c r="A35" s="14" t="s">
        <v>38</v>
      </c>
      <c r="B35" s="27" t="s">
        <v>39</v>
      </c>
      <c r="C35" s="15" t="s">
        <v>129</v>
      </c>
      <c r="D35" s="15" t="s">
        <v>129</v>
      </c>
      <c r="E35" s="16" t="s">
        <v>117</v>
      </c>
      <c r="F35" s="15" t="s">
        <v>129</v>
      </c>
      <c r="G35" s="17" t="s">
        <v>127</v>
      </c>
      <c r="H35" s="18"/>
      <c r="I35" s="17" t="s">
        <v>128</v>
      </c>
      <c r="J35" s="18"/>
      <c r="K35" s="18"/>
      <c r="L35" s="18" t="s">
        <v>58</v>
      </c>
      <c r="M35" s="7" t="s">
        <v>123</v>
      </c>
    </row>
    <row r="36" spans="1:13">
      <c r="A36" s="14" t="s">
        <v>38</v>
      </c>
      <c r="B36" s="27" t="s">
        <v>39</v>
      </c>
      <c r="C36" s="15" t="s">
        <v>130</v>
      </c>
      <c r="D36" s="15" t="s">
        <v>130</v>
      </c>
      <c r="E36" s="16" t="s">
        <v>117</v>
      </c>
      <c r="F36" s="15" t="s">
        <v>130</v>
      </c>
      <c r="G36" s="17" t="s">
        <v>127</v>
      </c>
      <c r="H36" s="18"/>
      <c r="I36" s="17" t="s">
        <v>128</v>
      </c>
      <c r="J36" s="18"/>
      <c r="K36" s="18"/>
      <c r="L36" s="18" t="s">
        <v>58</v>
      </c>
      <c r="M36" s="7" t="s">
        <v>123</v>
      </c>
    </row>
    <row r="37" spans="1:13">
      <c r="A37" s="14" t="s">
        <v>38</v>
      </c>
      <c r="B37" s="27" t="s">
        <v>39</v>
      </c>
      <c r="C37" s="15" t="s">
        <v>131</v>
      </c>
      <c r="D37" s="15" t="s">
        <v>131</v>
      </c>
      <c r="E37" s="16" t="s">
        <v>117</v>
      </c>
      <c r="F37" s="15" t="s">
        <v>131</v>
      </c>
      <c r="G37" s="17" t="s">
        <v>127</v>
      </c>
      <c r="H37" s="18"/>
      <c r="I37" s="17" t="s">
        <v>128</v>
      </c>
      <c r="J37" s="18"/>
      <c r="K37" s="18"/>
      <c r="L37" s="18" t="s">
        <v>58</v>
      </c>
      <c r="M37" s="7" t="s">
        <v>123</v>
      </c>
    </row>
    <row r="38" spans="1:13">
      <c r="A38" s="14" t="s">
        <v>38</v>
      </c>
      <c r="B38" s="27" t="s">
        <v>39</v>
      </c>
      <c r="C38" s="15" t="s">
        <v>132</v>
      </c>
      <c r="D38" s="15" t="s">
        <v>132</v>
      </c>
      <c r="E38" s="16" t="s">
        <v>133</v>
      </c>
      <c r="F38" s="15" t="s">
        <v>132</v>
      </c>
      <c r="G38" s="17" t="s">
        <v>134</v>
      </c>
      <c r="H38" s="18"/>
      <c r="I38" s="17" t="s">
        <v>135</v>
      </c>
      <c r="J38" s="18"/>
      <c r="K38" s="18"/>
      <c r="L38" s="18" t="s">
        <v>58</v>
      </c>
      <c r="M38" s="7" t="s">
        <v>109</v>
      </c>
    </row>
    <row r="39" spans="1:13">
      <c r="A39" s="14" t="s">
        <v>38</v>
      </c>
      <c r="B39" s="27" t="s">
        <v>39</v>
      </c>
      <c r="C39" s="15" t="s">
        <v>136</v>
      </c>
      <c r="D39" s="15" t="s">
        <v>136</v>
      </c>
      <c r="E39" s="16" t="s">
        <v>133</v>
      </c>
      <c r="F39" s="15" t="s">
        <v>136</v>
      </c>
      <c r="G39" s="17" t="s">
        <v>134</v>
      </c>
      <c r="H39" s="18"/>
      <c r="I39" s="17" t="s">
        <v>135</v>
      </c>
      <c r="J39" s="18"/>
      <c r="K39" s="18"/>
      <c r="L39" s="18" t="s">
        <v>58</v>
      </c>
      <c r="M39" s="7" t="s">
        <v>109</v>
      </c>
    </row>
    <row r="40" spans="1:13">
      <c r="A40" s="14" t="s">
        <v>38</v>
      </c>
      <c r="B40" s="27" t="s">
        <v>39</v>
      </c>
      <c r="C40" s="15" t="s">
        <v>137</v>
      </c>
      <c r="D40" s="15" t="s">
        <v>137</v>
      </c>
      <c r="E40" s="16" t="s">
        <v>133</v>
      </c>
      <c r="F40" s="15" t="s">
        <v>137</v>
      </c>
      <c r="G40" s="17" t="s">
        <v>134</v>
      </c>
      <c r="H40" s="18"/>
      <c r="I40" s="17" t="s">
        <v>135</v>
      </c>
      <c r="J40" s="18"/>
      <c r="K40" s="18"/>
      <c r="L40" s="18" t="s">
        <v>58</v>
      </c>
      <c r="M40" s="7" t="s">
        <v>138</v>
      </c>
    </row>
    <row r="41" spans="1:13">
      <c r="A41" s="14" t="s">
        <v>38</v>
      </c>
      <c r="B41" s="27" t="s">
        <v>39</v>
      </c>
      <c r="C41" s="15" t="s">
        <v>139</v>
      </c>
      <c r="D41" s="15" t="s">
        <v>139</v>
      </c>
      <c r="E41" s="16" t="s">
        <v>133</v>
      </c>
      <c r="F41" s="15" t="s">
        <v>139</v>
      </c>
      <c r="G41" s="17" t="s">
        <v>134</v>
      </c>
      <c r="H41" s="18"/>
      <c r="I41" s="17" t="s">
        <v>135</v>
      </c>
      <c r="J41" s="18"/>
      <c r="K41" s="18"/>
      <c r="L41" s="18" t="s">
        <v>58</v>
      </c>
      <c r="M41" s="7" t="s">
        <v>140</v>
      </c>
    </row>
    <row r="42" spans="1:13">
      <c r="A42" s="14" t="s">
        <v>38</v>
      </c>
      <c r="B42" s="27" t="s">
        <v>39</v>
      </c>
      <c r="C42" s="15" t="s">
        <v>141</v>
      </c>
      <c r="D42" s="15" t="s">
        <v>141</v>
      </c>
      <c r="E42" s="16" t="s">
        <v>133</v>
      </c>
      <c r="F42" s="15" t="s">
        <v>141</v>
      </c>
      <c r="G42" s="17" t="s">
        <v>134</v>
      </c>
      <c r="H42" s="18"/>
      <c r="I42" s="17" t="s">
        <v>135</v>
      </c>
      <c r="J42" s="18"/>
      <c r="K42" s="18"/>
      <c r="L42" s="18" t="s">
        <v>58</v>
      </c>
      <c r="M42" s="7" t="s">
        <v>142</v>
      </c>
    </row>
    <row r="43" spans="1:13">
      <c r="A43" s="14" t="s">
        <v>38</v>
      </c>
      <c r="B43" s="27" t="s">
        <v>39</v>
      </c>
      <c r="C43" s="15" t="s">
        <v>143</v>
      </c>
      <c r="D43" s="15" t="s">
        <v>143</v>
      </c>
      <c r="E43" s="16" t="s">
        <v>133</v>
      </c>
      <c r="F43" s="15" t="s">
        <v>143</v>
      </c>
      <c r="G43" s="17" t="s">
        <v>134</v>
      </c>
      <c r="H43" s="18"/>
      <c r="I43" s="17" t="s">
        <v>135</v>
      </c>
      <c r="J43" s="18"/>
      <c r="K43" s="18"/>
      <c r="L43" s="18" t="s">
        <v>58</v>
      </c>
      <c r="M43" s="7" t="s">
        <v>144</v>
      </c>
    </row>
    <row r="44" spans="1:13">
      <c r="A44" s="14" t="s">
        <v>38</v>
      </c>
      <c r="B44" s="27" t="s">
        <v>39</v>
      </c>
      <c r="C44" s="15" t="s">
        <v>145</v>
      </c>
      <c r="D44" s="15" t="s">
        <v>145</v>
      </c>
      <c r="E44" s="16" t="s">
        <v>133</v>
      </c>
      <c r="F44" s="15" t="s">
        <v>145</v>
      </c>
      <c r="G44" s="17" t="s">
        <v>134</v>
      </c>
      <c r="H44" s="18"/>
      <c r="I44" s="17" t="s">
        <v>135</v>
      </c>
      <c r="J44" s="18"/>
      <c r="K44" s="18"/>
      <c r="L44" s="18" t="s">
        <v>58</v>
      </c>
      <c r="M44" s="7" t="s">
        <v>146</v>
      </c>
    </row>
    <row r="45" spans="1:13">
      <c r="A45" s="14" t="s">
        <v>38</v>
      </c>
      <c r="B45" s="27" t="s">
        <v>39</v>
      </c>
      <c r="C45" s="15" t="s">
        <v>147</v>
      </c>
      <c r="D45" s="15" t="s">
        <v>147</v>
      </c>
      <c r="E45" s="16" t="s">
        <v>133</v>
      </c>
      <c r="F45" s="15" t="s">
        <v>147</v>
      </c>
      <c r="G45" s="17" t="s">
        <v>134</v>
      </c>
      <c r="H45" s="18"/>
      <c r="I45" s="17" t="s">
        <v>135</v>
      </c>
      <c r="J45" s="18"/>
      <c r="K45" s="18"/>
      <c r="L45" s="18" t="s">
        <v>58</v>
      </c>
      <c r="M45" s="7" t="s">
        <v>123</v>
      </c>
    </row>
    <row r="46" spans="1:13">
      <c r="A46" s="14" t="s">
        <v>38</v>
      </c>
      <c r="B46" s="27" t="s">
        <v>39</v>
      </c>
      <c r="C46" s="15" t="s">
        <v>148</v>
      </c>
      <c r="D46" s="15" t="s">
        <v>148</v>
      </c>
      <c r="E46" s="16" t="s">
        <v>133</v>
      </c>
      <c r="F46" s="15" t="s">
        <v>148</v>
      </c>
      <c r="G46" s="17" t="s">
        <v>134</v>
      </c>
      <c r="H46" s="18"/>
      <c r="I46" s="17" t="s">
        <v>135</v>
      </c>
      <c r="J46" s="18"/>
      <c r="K46" s="18"/>
      <c r="L46" s="18" t="s">
        <v>58</v>
      </c>
      <c r="M46" s="7" t="s">
        <v>123</v>
      </c>
    </row>
    <row r="47" spans="1:13">
      <c r="A47" s="14" t="s">
        <v>38</v>
      </c>
      <c r="B47" s="27" t="s">
        <v>39</v>
      </c>
      <c r="C47" s="15" t="s">
        <v>149</v>
      </c>
      <c r="D47" s="15" t="s">
        <v>149</v>
      </c>
      <c r="E47" s="16" t="s">
        <v>133</v>
      </c>
      <c r="F47" s="15" t="s">
        <v>149</v>
      </c>
      <c r="G47" s="17" t="s">
        <v>134</v>
      </c>
      <c r="H47" s="18"/>
      <c r="I47" s="17" t="s">
        <v>135</v>
      </c>
      <c r="J47" s="18"/>
      <c r="K47" s="18"/>
      <c r="L47" s="18" t="s">
        <v>58</v>
      </c>
      <c r="M47" s="7" t="s">
        <v>150</v>
      </c>
    </row>
    <row r="48" spans="1:13">
      <c r="A48" s="14" t="s">
        <v>38</v>
      </c>
      <c r="B48" s="27" t="s">
        <v>39</v>
      </c>
      <c r="C48" s="15" t="s">
        <v>151</v>
      </c>
      <c r="D48" s="15" t="s">
        <v>151</v>
      </c>
      <c r="E48" s="16" t="s">
        <v>133</v>
      </c>
      <c r="F48" s="15" t="s">
        <v>151</v>
      </c>
      <c r="G48" s="17" t="s">
        <v>134</v>
      </c>
      <c r="H48" s="18"/>
      <c r="I48" s="17" t="s">
        <v>135</v>
      </c>
      <c r="J48" s="18"/>
      <c r="K48" s="18"/>
      <c r="L48" s="18" t="s">
        <v>58</v>
      </c>
      <c r="M48" s="7" t="s">
        <v>152</v>
      </c>
    </row>
    <row r="49" spans="1:29">
      <c r="A49" s="14" t="s">
        <v>38</v>
      </c>
      <c r="B49" s="27" t="s">
        <v>39</v>
      </c>
      <c r="C49" s="15" t="s">
        <v>153</v>
      </c>
      <c r="D49" s="15" t="s">
        <v>153</v>
      </c>
      <c r="E49" s="16" t="s">
        <v>133</v>
      </c>
      <c r="F49" s="15" t="s">
        <v>153</v>
      </c>
      <c r="G49" s="17" t="s">
        <v>134</v>
      </c>
      <c r="H49" s="18"/>
      <c r="I49" s="17" t="s">
        <v>135</v>
      </c>
      <c r="J49" s="18"/>
      <c r="K49" s="18"/>
      <c r="L49" s="18" t="s">
        <v>58</v>
      </c>
      <c r="M49" s="7" t="s">
        <v>154</v>
      </c>
    </row>
    <row r="50" spans="1:29">
      <c r="A50" s="14" t="s">
        <v>38</v>
      </c>
      <c r="B50" s="27" t="s">
        <v>39</v>
      </c>
      <c r="C50" s="15" t="s">
        <v>155</v>
      </c>
      <c r="D50" s="15" t="s">
        <v>155</v>
      </c>
      <c r="E50" s="16" t="s">
        <v>133</v>
      </c>
      <c r="F50" s="15" t="s">
        <v>155</v>
      </c>
      <c r="G50" s="17" t="s">
        <v>134</v>
      </c>
      <c r="H50" s="18"/>
      <c r="I50" s="17" t="s">
        <v>135</v>
      </c>
      <c r="J50" s="18"/>
      <c r="K50" s="18"/>
      <c r="L50" s="18" t="s">
        <v>58</v>
      </c>
      <c r="M50" s="7" t="s">
        <v>156</v>
      </c>
    </row>
    <row r="51" spans="1:29">
      <c r="A51" s="14" t="s">
        <v>38</v>
      </c>
      <c r="B51" s="27" t="s">
        <v>39</v>
      </c>
      <c r="C51" s="15" t="s">
        <v>157</v>
      </c>
      <c r="D51" s="15" t="s">
        <v>157</v>
      </c>
      <c r="E51" s="16" t="s">
        <v>133</v>
      </c>
      <c r="F51" s="15" t="s">
        <v>157</v>
      </c>
      <c r="G51" s="17" t="s">
        <v>134</v>
      </c>
      <c r="H51" s="18"/>
      <c r="I51" s="17" t="s">
        <v>158</v>
      </c>
      <c r="J51" s="18"/>
      <c r="K51" s="18"/>
      <c r="L51" s="18" t="s">
        <v>58</v>
      </c>
      <c r="M51" s="7" t="s">
        <v>101</v>
      </c>
    </row>
    <row r="52" spans="1:29">
      <c r="A52" s="14" t="s">
        <v>38</v>
      </c>
      <c r="B52" s="27" t="s">
        <v>39</v>
      </c>
      <c r="C52" s="15" t="s">
        <v>159</v>
      </c>
      <c r="D52" s="15" t="s">
        <v>159</v>
      </c>
      <c r="E52" s="16" t="s">
        <v>133</v>
      </c>
      <c r="F52" s="15" t="s">
        <v>159</v>
      </c>
      <c r="G52" s="17" t="s">
        <v>134</v>
      </c>
      <c r="H52" s="18"/>
      <c r="I52" s="17" t="s">
        <v>158</v>
      </c>
      <c r="J52" s="18"/>
      <c r="K52" s="18"/>
      <c r="L52" s="18" t="s">
        <v>58</v>
      </c>
      <c r="M52" s="7" t="s">
        <v>101</v>
      </c>
    </row>
    <row r="53" spans="1:29">
      <c r="A53" s="14" t="s">
        <v>38</v>
      </c>
      <c r="B53" s="27" t="s">
        <v>39</v>
      </c>
      <c r="C53" s="15" t="s">
        <v>160</v>
      </c>
      <c r="D53" s="15" t="s">
        <v>160</v>
      </c>
      <c r="E53" s="16" t="s">
        <v>133</v>
      </c>
      <c r="F53" s="15" t="s">
        <v>160</v>
      </c>
      <c r="G53" s="17" t="s">
        <v>134</v>
      </c>
      <c r="H53" s="18"/>
      <c r="I53" s="17" t="s">
        <v>158</v>
      </c>
      <c r="J53" s="18"/>
      <c r="K53" s="18"/>
      <c r="L53" s="18" t="s">
        <v>58</v>
      </c>
      <c r="M53" s="7" t="s">
        <v>101</v>
      </c>
    </row>
    <row r="54" spans="1:29">
      <c r="A54" s="14" t="s">
        <v>38</v>
      </c>
      <c r="B54" s="27" t="s">
        <v>39</v>
      </c>
      <c r="C54" s="15" t="s">
        <v>161</v>
      </c>
      <c r="D54" s="15" t="s">
        <v>161</v>
      </c>
      <c r="E54" s="16" t="s">
        <v>92</v>
      </c>
      <c r="F54" s="15" t="s">
        <v>161</v>
      </c>
      <c r="G54" s="17" t="s">
        <v>134</v>
      </c>
      <c r="H54" s="18"/>
      <c r="I54" s="17" t="s">
        <v>158</v>
      </c>
      <c r="J54" s="18"/>
      <c r="K54" s="18"/>
      <c r="L54" s="18" t="s">
        <v>58</v>
      </c>
      <c r="M54" s="7" t="s">
        <v>123</v>
      </c>
    </row>
    <row r="55" spans="1:29">
      <c r="A55" s="14" t="s">
        <v>38</v>
      </c>
      <c r="B55" s="27" t="s">
        <v>39</v>
      </c>
      <c r="C55" s="15" t="s">
        <v>162</v>
      </c>
      <c r="D55" s="15" t="s">
        <v>162</v>
      </c>
      <c r="E55" s="16" t="s">
        <v>92</v>
      </c>
      <c r="F55" s="15" t="s">
        <v>162</v>
      </c>
      <c r="G55" s="17" t="s">
        <v>134</v>
      </c>
      <c r="H55" s="18"/>
      <c r="I55" s="17" t="s">
        <v>158</v>
      </c>
      <c r="J55" s="18"/>
      <c r="K55" s="18"/>
      <c r="L55" s="18" t="s">
        <v>58</v>
      </c>
      <c r="M55" s="7" t="s">
        <v>101</v>
      </c>
    </row>
    <row r="56" spans="1:29">
      <c r="A56" s="14" t="s">
        <v>38</v>
      </c>
      <c r="B56" s="27" t="s">
        <v>39</v>
      </c>
      <c r="C56" s="15" t="s">
        <v>163</v>
      </c>
      <c r="D56" s="15" t="s">
        <v>163</v>
      </c>
      <c r="E56" s="16" t="s">
        <v>92</v>
      </c>
      <c r="F56" s="15" t="s">
        <v>163</v>
      </c>
      <c r="G56" s="17" t="s">
        <v>134</v>
      </c>
      <c r="H56" s="18"/>
      <c r="I56" s="17" t="s">
        <v>164</v>
      </c>
      <c r="J56" s="18"/>
      <c r="K56" s="18"/>
      <c r="L56" s="18" t="s">
        <v>58</v>
      </c>
      <c r="M56" s="7" t="s">
        <v>165</v>
      </c>
    </row>
    <row r="57" spans="1:29">
      <c r="A57" s="14" t="s">
        <v>38</v>
      </c>
      <c r="B57" s="27" t="s">
        <v>39</v>
      </c>
      <c r="C57" s="15" t="s">
        <v>166</v>
      </c>
      <c r="D57" s="15" t="s">
        <v>166</v>
      </c>
      <c r="E57" s="16" t="s">
        <v>92</v>
      </c>
      <c r="F57" s="15" t="s">
        <v>166</v>
      </c>
      <c r="G57" s="17" t="s">
        <v>134</v>
      </c>
      <c r="H57" s="18"/>
      <c r="I57" s="17" t="s">
        <v>164</v>
      </c>
      <c r="J57" s="18"/>
      <c r="K57" s="18"/>
      <c r="L57" s="18" t="s">
        <v>58</v>
      </c>
      <c r="M57" s="7" t="s">
        <v>123</v>
      </c>
    </row>
    <row r="58" spans="1:29">
      <c r="A58" s="14" t="s">
        <v>38</v>
      </c>
      <c r="B58" s="27" t="s">
        <v>39</v>
      </c>
      <c r="C58" s="15" t="s">
        <v>167</v>
      </c>
      <c r="D58" s="15" t="s">
        <v>167</v>
      </c>
      <c r="E58" s="16" t="s">
        <v>168</v>
      </c>
      <c r="F58" s="15" t="s">
        <v>167</v>
      </c>
      <c r="G58" s="17" t="s">
        <v>169</v>
      </c>
      <c r="H58" s="18"/>
      <c r="I58" s="17" t="s">
        <v>170</v>
      </c>
      <c r="J58" s="18"/>
      <c r="K58" s="18"/>
      <c r="L58" s="18" t="s">
        <v>58</v>
      </c>
      <c r="M58" s="7" t="s">
        <v>109</v>
      </c>
    </row>
    <row r="59" spans="1:29">
      <c r="A59" s="14" t="s">
        <v>38</v>
      </c>
      <c r="B59" s="27" t="s">
        <v>39</v>
      </c>
      <c r="C59" s="15" t="s">
        <v>171</v>
      </c>
      <c r="D59" s="15" t="s">
        <v>171</v>
      </c>
      <c r="E59" s="16" t="s">
        <v>168</v>
      </c>
      <c r="F59" s="15" t="s">
        <v>171</v>
      </c>
      <c r="G59" s="17" t="s">
        <v>169</v>
      </c>
      <c r="H59" s="18"/>
      <c r="I59" s="17" t="s">
        <v>170</v>
      </c>
      <c r="J59" s="18"/>
      <c r="K59" s="18"/>
      <c r="L59" s="18" t="s">
        <v>58</v>
      </c>
      <c r="M59" s="7" t="s">
        <v>101</v>
      </c>
    </row>
    <row r="60" spans="1:29">
      <c r="A60" s="14" t="s">
        <v>38</v>
      </c>
      <c r="B60" s="27" t="s">
        <v>39</v>
      </c>
      <c r="C60" s="15" t="s">
        <v>172</v>
      </c>
      <c r="D60" s="15" t="s">
        <v>172</v>
      </c>
      <c r="E60" s="16" t="s">
        <v>168</v>
      </c>
      <c r="F60" s="15" t="s">
        <v>172</v>
      </c>
      <c r="G60" s="17" t="s">
        <v>169</v>
      </c>
      <c r="H60" s="18"/>
      <c r="I60" s="17" t="s">
        <v>170</v>
      </c>
      <c r="J60" s="18"/>
      <c r="K60" s="18"/>
      <c r="L60" s="18" t="s">
        <v>58</v>
      </c>
      <c r="M60" s="7" t="s">
        <v>173</v>
      </c>
    </row>
    <row r="61" spans="1:29">
      <c r="A61" s="14" t="s">
        <v>38</v>
      </c>
      <c r="B61" s="27" t="s">
        <v>39</v>
      </c>
      <c r="C61" s="15" t="s">
        <v>174</v>
      </c>
      <c r="D61" s="15" t="s">
        <v>174</v>
      </c>
      <c r="E61" s="16" t="s">
        <v>168</v>
      </c>
      <c r="F61" s="15" t="s">
        <v>174</v>
      </c>
      <c r="G61" s="17" t="s">
        <v>169</v>
      </c>
      <c r="H61" s="18"/>
      <c r="I61" s="17" t="s">
        <v>170</v>
      </c>
      <c r="J61" s="18"/>
      <c r="K61" s="18"/>
      <c r="L61" s="18" t="s">
        <v>58</v>
      </c>
      <c r="M61" s="7" t="s">
        <v>175</v>
      </c>
    </row>
    <row r="62" spans="1:29">
      <c r="A62" s="14" t="s">
        <v>38</v>
      </c>
      <c r="B62" s="27" t="s">
        <v>39</v>
      </c>
      <c r="C62" s="15" t="s">
        <v>176</v>
      </c>
      <c r="D62" s="15" t="s">
        <v>176</v>
      </c>
      <c r="E62" s="16" t="s">
        <v>92</v>
      </c>
      <c r="F62" s="15" t="s">
        <v>176</v>
      </c>
      <c r="G62" s="17" t="s">
        <v>93</v>
      </c>
      <c r="H62" s="18"/>
      <c r="I62" s="17" t="s">
        <v>177</v>
      </c>
      <c r="J62" s="18"/>
      <c r="K62" s="18"/>
      <c r="L62" s="18" t="s">
        <v>58</v>
      </c>
      <c r="M62" s="7" t="s">
        <v>146</v>
      </c>
    </row>
    <row r="63" spans="1:29">
      <c r="A63" s="14" t="s">
        <v>38</v>
      </c>
      <c r="B63" s="27" t="s">
        <v>39</v>
      </c>
      <c r="C63" s="15" t="s">
        <v>178</v>
      </c>
      <c r="D63" s="15" t="s">
        <v>178</v>
      </c>
      <c r="E63" s="16" t="s">
        <v>92</v>
      </c>
      <c r="F63" s="15" t="s">
        <v>178</v>
      </c>
      <c r="G63" s="17" t="s">
        <v>93</v>
      </c>
      <c r="H63" s="18"/>
      <c r="I63" s="17" t="s">
        <v>177</v>
      </c>
      <c r="J63" s="18"/>
      <c r="K63" s="18"/>
      <c r="L63" s="18" t="s">
        <v>58</v>
      </c>
      <c r="M63" s="35" t="s">
        <v>179</v>
      </c>
      <c r="N63" s="7" t="s">
        <v>180</v>
      </c>
      <c r="O63" s="7">
        <f>(9.8+11.8+10.1+42.4)/(100-6.5)</f>
        <v>0.79251336898395719</v>
      </c>
      <c r="P63" s="7">
        <v>0.65</v>
      </c>
      <c r="Q63" s="7">
        <v>11.43</v>
      </c>
      <c r="R63" s="7" t="s">
        <v>76</v>
      </c>
      <c r="S63" s="7" t="s">
        <v>76</v>
      </c>
      <c r="T63" s="7" t="s">
        <v>181</v>
      </c>
      <c r="U63" s="7" t="s">
        <v>182</v>
      </c>
      <c r="V63" s="7">
        <v>2.319</v>
      </c>
      <c r="W63" s="7">
        <v>0.40200000000000002</v>
      </c>
      <c r="X63" s="7">
        <v>26696</v>
      </c>
      <c r="Y63" s="7">
        <v>97</v>
      </c>
      <c r="Z63" s="7">
        <v>19.600000000000001</v>
      </c>
      <c r="AA63" s="7">
        <v>2.4300000000000002</v>
      </c>
      <c r="AB63" s="7">
        <v>0.25800000000000001</v>
      </c>
      <c r="AC63" s="7">
        <v>69.599999999999994</v>
      </c>
    </row>
    <row r="64" spans="1:29">
      <c r="A64" s="14" t="s">
        <v>38</v>
      </c>
      <c r="B64" s="27" t="s">
        <v>39</v>
      </c>
      <c r="C64" s="15" t="s">
        <v>183</v>
      </c>
      <c r="D64" s="15" t="s">
        <v>183</v>
      </c>
      <c r="E64" s="16" t="s">
        <v>92</v>
      </c>
      <c r="F64" s="15" t="s">
        <v>183</v>
      </c>
      <c r="G64" s="17" t="s">
        <v>93</v>
      </c>
      <c r="H64" s="18"/>
      <c r="I64" s="17" t="s">
        <v>177</v>
      </c>
      <c r="J64" s="18"/>
      <c r="K64" s="18"/>
      <c r="L64" s="18" t="s">
        <v>58</v>
      </c>
      <c r="M64" s="35" t="s">
        <v>184</v>
      </c>
      <c r="N64" s="7" t="s">
        <v>74</v>
      </c>
      <c r="O64" s="7">
        <f>(86.7)/(100-0.7)</f>
        <v>0.87311178247734145</v>
      </c>
      <c r="P64" s="7">
        <v>0.35</v>
      </c>
      <c r="Q64" s="7">
        <v>12.42</v>
      </c>
      <c r="R64" s="7" t="s">
        <v>76</v>
      </c>
      <c r="S64" s="7" t="s">
        <v>76</v>
      </c>
      <c r="T64" s="7" t="s">
        <v>181</v>
      </c>
      <c r="U64" s="7" t="s">
        <v>185</v>
      </c>
      <c r="V64" s="7">
        <v>1.9770000000000001</v>
      </c>
      <c r="W64" s="7">
        <v>0.307</v>
      </c>
      <c r="X64" s="7">
        <v>43651</v>
      </c>
      <c r="Y64" s="7">
        <v>100</v>
      </c>
      <c r="Z64" s="7">
        <v>21</v>
      </c>
      <c r="AA64" s="7">
        <v>1.952</v>
      </c>
      <c r="AB64" s="7">
        <v>0.218</v>
      </c>
      <c r="AC64" s="7">
        <v>68.400000000000006</v>
      </c>
    </row>
    <row r="65" spans="1:29">
      <c r="A65" s="14" t="s">
        <v>38</v>
      </c>
      <c r="B65" s="27" t="s">
        <v>39</v>
      </c>
      <c r="C65" s="15" t="s">
        <v>186</v>
      </c>
      <c r="D65" s="15" t="s">
        <v>186</v>
      </c>
      <c r="E65" s="16" t="s">
        <v>92</v>
      </c>
      <c r="F65" s="15" t="s">
        <v>186</v>
      </c>
      <c r="G65" s="17" t="s">
        <v>93</v>
      </c>
      <c r="H65" s="18"/>
      <c r="I65" s="17" t="s">
        <v>177</v>
      </c>
      <c r="J65" s="18"/>
      <c r="K65" s="18"/>
      <c r="L65" s="18" t="s">
        <v>58</v>
      </c>
      <c r="M65" s="7" t="s">
        <v>109</v>
      </c>
      <c r="P65" s="36"/>
    </row>
    <row r="66" spans="1:29">
      <c r="A66" s="14" t="s">
        <v>38</v>
      </c>
      <c r="B66" s="27" t="s">
        <v>39</v>
      </c>
      <c r="C66" s="15" t="s">
        <v>187</v>
      </c>
      <c r="D66" s="15" t="s">
        <v>187</v>
      </c>
      <c r="E66" s="16" t="s">
        <v>168</v>
      </c>
      <c r="F66" s="15" t="s">
        <v>187</v>
      </c>
      <c r="G66" s="17" t="s">
        <v>169</v>
      </c>
      <c r="H66" s="18"/>
      <c r="I66" s="17" t="s">
        <v>170</v>
      </c>
      <c r="J66" s="18"/>
      <c r="K66" s="18"/>
      <c r="L66" s="18" t="s">
        <v>58</v>
      </c>
      <c r="M66" s="35" t="s">
        <v>188</v>
      </c>
      <c r="N66" s="7" t="s">
        <v>189</v>
      </c>
      <c r="P66" s="36"/>
    </row>
    <row r="67" spans="1:29">
      <c r="A67" s="14" t="s">
        <v>38</v>
      </c>
      <c r="B67" s="27" t="s">
        <v>39</v>
      </c>
      <c r="C67" s="15" t="s">
        <v>190</v>
      </c>
      <c r="D67" s="15" t="s">
        <v>190</v>
      </c>
      <c r="E67" s="16" t="s">
        <v>168</v>
      </c>
      <c r="F67" s="15" t="s">
        <v>190</v>
      </c>
      <c r="G67" s="17" t="s">
        <v>169</v>
      </c>
      <c r="H67" s="18"/>
      <c r="I67" s="17" t="s">
        <v>170</v>
      </c>
      <c r="J67" s="18"/>
      <c r="K67" s="18"/>
      <c r="L67" s="18" t="s">
        <v>58</v>
      </c>
      <c r="M67" s="7" t="s">
        <v>191</v>
      </c>
    </row>
    <row r="68" spans="1:29">
      <c r="A68" s="14" t="s">
        <v>38</v>
      </c>
      <c r="B68" s="27" t="s">
        <v>39</v>
      </c>
      <c r="C68" s="15" t="s">
        <v>192</v>
      </c>
      <c r="D68" s="15" t="s">
        <v>192</v>
      </c>
      <c r="E68" s="16" t="s">
        <v>92</v>
      </c>
      <c r="F68" s="15" t="s">
        <v>192</v>
      </c>
      <c r="G68" s="17" t="s">
        <v>193</v>
      </c>
      <c r="H68" s="18"/>
      <c r="I68" s="17" t="s">
        <v>194</v>
      </c>
      <c r="J68" s="18"/>
      <c r="K68" s="18"/>
      <c r="L68" s="18" t="s">
        <v>58</v>
      </c>
      <c r="M68" s="35" t="s">
        <v>195</v>
      </c>
      <c r="N68" s="7" t="s">
        <v>74</v>
      </c>
      <c r="O68" s="7">
        <f>(75.4)/(100-11.1)</f>
        <v>0.84814398200224972</v>
      </c>
      <c r="P68" s="7">
        <v>0.35</v>
      </c>
      <c r="Q68" s="7">
        <v>8.65</v>
      </c>
      <c r="R68" s="7" t="s">
        <v>76</v>
      </c>
      <c r="S68" s="7" t="s">
        <v>76</v>
      </c>
      <c r="T68" s="7" t="s">
        <v>181</v>
      </c>
      <c r="U68" s="7" t="s">
        <v>196</v>
      </c>
      <c r="V68" s="7">
        <v>2.33</v>
      </c>
      <c r="W68" s="7">
        <v>0.26400000000000001</v>
      </c>
      <c r="X68" s="7">
        <v>26261</v>
      </c>
      <c r="Y68" s="7">
        <v>97.9</v>
      </c>
      <c r="Z68" s="7">
        <v>20.8</v>
      </c>
      <c r="AA68" s="7">
        <v>2.3210000000000002</v>
      </c>
      <c r="AB68" s="7">
        <v>0.20699999999999999</v>
      </c>
      <c r="AC68" s="7">
        <v>63.6</v>
      </c>
    </row>
    <row r="69" spans="1:29">
      <c r="A69" s="14" t="s">
        <v>38</v>
      </c>
      <c r="B69" s="27" t="s">
        <v>39</v>
      </c>
      <c r="C69" s="15" t="s">
        <v>197</v>
      </c>
      <c r="D69" s="15" t="s">
        <v>197</v>
      </c>
      <c r="E69" s="16" t="s">
        <v>92</v>
      </c>
      <c r="F69" s="15" t="s">
        <v>197</v>
      </c>
      <c r="G69" s="17" t="s">
        <v>169</v>
      </c>
      <c r="H69" s="18"/>
      <c r="I69" s="17" t="s">
        <v>198</v>
      </c>
      <c r="J69" s="18"/>
      <c r="K69" s="18"/>
      <c r="L69" s="18" t="s">
        <v>58</v>
      </c>
      <c r="M69" s="7" t="s">
        <v>199</v>
      </c>
    </row>
    <row r="70" spans="1:29">
      <c r="A70" s="14" t="s">
        <v>38</v>
      </c>
      <c r="B70" s="27" t="s">
        <v>39</v>
      </c>
      <c r="C70" s="15" t="s">
        <v>200</v>
      </c>
      <c r="D70" s="15" t="s">
        <v>200</v>
      </c>
      <c r="E70" s="16" t="s">
        <v>92</v>
      </c>
      <c r="F70" s="15" t="s">
        <v>200</v>
      </c>
      <c r="G70" s="17" t="s">
        <v>169</v>
      </c>
      <c r="H70" s="18"/>
      <c r="I70" s="17" t="s">
        <v>198</v>
      </c>
      <c r="J70" s="18"/>
      <c r="K70" s="18"/>
      <c r="L70" s="18" t="s">
        <v>58</v>
      </c>
      <c r="M70" s="7" t="s">
        <v>201</v>
      </c>
    </row>
    <row r="71" spans="1:29">
      <c r="A71" s="14" t="s">
        <v>38</v>
      </c>
      <c r="B71" s="27" t="s">
        <v>39</v>
      </c>
      <c r="C71" s="15" t="s">
        <v>202</v>
      </c>
      <c r="D71" s="15" t="s">
        <v>202</v>
      </c>
      <c r="E71" s="16" t="s">
        <v>92</v>
      </c>
      <c r="F71" s="15" t="s">
        <v>202</v>
      </c>
      <c r="G71" s="17" t="s">
        <v>169</v>
      </c>
      <c r="H71" s="18"/>
      <c r="I71" s="17" t="s">
        <v>198</v>
      </c>
      <c r="J71" s="18"/>
      <c r="K71" s="18"/>
      <c r="L71" s="18" t="s">
        <v>58</v>
      </c>
      <c r="M71" s="7" t="s">
        <v>203</v>
      </c>
    </row>
    <row r="72" spans="1:29">
      <c r="A72" s="14" t="s">
        <v>38</v>
      </c>
      <c r="B72" s="27" t="s">
        <v>39</v>
      </c>
      <c r="C72" s="15" t="s">
        <v>204</v>
      </c>
      <c r="D72" s="15" t="s">
        <v>204</v>
      </c>
      <c r="E72" s="16" t="s">
        <v>92</v>
      </c>
      <c r="F72" s="15" t="s">
        <v>204</v>
      </c>
      <c r="G72" s="17" t="s">
        <v>205</v>
      </c>
      <c r="H72" s="18"/>
      <c r="I72" s="17" t="s">
        <v>206</v>
      </c>
      <c r="J72" s="18"/>
      <c r="K72" s="18"/>
      <c r="L72" s="18" t="s">
        <v>58</v>
      </c>
      <c r="M72" s="7" t="s">
        <v>207</v>
      </c>
    </row>
    <row r="73" spans="1:29">
      <c r="A73" s="14" t="s">
        <v>38</v>
      </c>
      <c r="B73" s="27" t="s">
        <v>39</v>
      </c>
      <c r="C73" s="15" t="s">
        <v>208</v>
      </c>
      <c r="D73" s="15" t="s">
        <v>208</v>
      </c>
      <c r="E73" s="16" t="s">
        <v>92</v>
      </c>
      <c r="F73" s="15" t="s">
        <v>208</v>
      </c>
      <c r="G73" s="17" t="s">
        <v>97</v>
      </c>
      <c r="H73" s="18"/>
      <c r="I73" s="17" t="s">
        <v>206</v>
      </c>
      <c r="J73" s="18"/>
      <c r="K73" s="18"/>
      <c r="L73" s="18" t="s">
        <v>58</v>
      </c>
      <c r="M73" s="7" t="s">
        <v>209</v>
      </c>
    </row>
    <row r="74" spans="1:29">
      <c r="A74" s="14" t="s">
        <v>38</v>
      </c>
      <c r="B74" s="27" t="s">
        <v>39</v>
      </c>
      <c r="C74" s="15" t="s">
        <v>210</v>
      </c>
      <c r="D74" s="15" t="s">
        <v>210</v>
      </c>
      <c r="E74" s="16" t="s">
        <v>92</v>
      </c>
      <c r="F74" s="15" t="s">
        <v>210</v>
      </c>
      <c r="G74" s="17" t="s">
        <v>97</v>
      </c>
      <c r="H74" s="18"/>
      <c r="I74" s="17" t="s">
        <v>206</v>
      </c>
      <c r="J74" s="18"/>
      <c r="K74" s="18"/>
      <c r="L74" s="18" t="s">
        <v>58</v>
      </c>
      <c r="M74" s="7" t="s">
        <v>211</v>
      </c>
    </row>
    <row r="75" spans="1:29">
      <c r="A75" s="14" t="s">
        <v>38</v>
      </c>
      <c r="B75" s="27" t="s">
        <v>39</v>
      </c>
      <c r="C75" s="15" t="s">
        <v>212</v>
      </c>
      <c r="D75" s="15" t="s">
        <v>212</v>
      </c>
      <c r="E75" s="16" t="s">
        <v>92</v>
      </c>
      <c r="F75" s="15" t="s">
        <v>212</v>
      </c>
      <c r="G75" s="17" t="s">
        <v>97</v>
      </c>
      <c r="H75" s="18"/>
      <c r="I75" s="17" t="s">
        <v>206</v>
      </c>
      <c r="J75" s="18"/>
      <c r="K75" s="18"/>
      <c r="L75" s="18" t="s">
        <v>58</v>
      </c>
      <c r="M75" s="7" t="s">
        <v>211</v>
      </c>
    </row>
    <row r="76" spans="1:29">
      <c r="A76" s="14" t="s">
        <v>38</v>
      </c>
      <c r="B76" s="27" t="s">
        <v>39</v>
      </c>
      <c r="C76" s="15" t="s">
        <v>213</v>
      </c>
      <c r="D76" s="15" t="s">
        <v>213</v>
      </c>
      <c r="E76" s="16" t="s">
        <v>92</v>
      </c>
      <c r="F76" s="15" t="s">
        <v>213</v>
      </c>
      <c r="G76" s="17" t="s">
        <v>97</v>
      </c>
      <c r="H76" s="18"/>
      <c r="I76" s="17" t="s">
        <v>206</v>
      </c>
      <c r="J76" s="18"/>
      <c r="K76" s="18"/>
      <c r="L76" s="18" t="s">
        <v>58</v>
      </c>
      <c r="M76" s="7" t="s">
        <v>173</v>
      </c>
    </row>
    <row r="77" spans="1:29">
      <c r="A77" s="8" t="s">
        <v>38</v>
      </c>
      <c r="B77" s="27" t="s">
        <v>39</v>
      </c>
      <c r="C77" s="9" t="s">
        <v>214</v>
      </c>
      <c r="D77" s="9" t="s">
        <v>214</v>
      </c>
      <c r="E77" s="10" t="s">
        <v>215</v>
      </c>
      <c r="F77" s="9" t="s">
        <v>214</v>
      </c>
      <c r="G77" s="11" t="s">
        <v>216</v>
      </c>
      <c r="H77" s="12"/>
      <c r="I77" s="13" t="s">
        <v>217</v>
      </c>
      <c r="J77" s="12"/>
      <c r="K77" s="12"/>
      <c r="L77" s="12" t="s">
        <v>218</v>
      </c>
      <c r="M77" s="7" t="s">
        <v>219</v>
      </c>
    </row>
    <row r="78" spans="1:29">
      <c r="A78" s="8" t="s">
        <v>38</v>
      </c>
      <c r="B78" s="27" t="s">
        <v>39</v>
      </c>
      <c r="C78" s="9" t="s">
        <v>220</v>
      </c>
      <c r="D78" s="9" t="s">
        <v>220</v>
      </c>
      <c r="E78" s="10" t="s">
        <v>215</v>
      </c>
      <c r="F78" s="9" t="s">
        <v>220</v>
      </c>
      <c r="G78" s="11" t="s">
        <v>221</v>
      </c>
      <c r="H78" s="12"/>
      <c r="I78" s="13" t="s">
        <v>222</v>
      </c>
      <c r="J78" s="12"/>
      <c r="K78" s="12"/>
      <c r="L78" s="12" t="s">
        <v>218</v>
      </c>
      <c r="M78" s="7" t="s">
        <v>219</v>
      </c>
    </row>
    <row r="79" spans="1:29">
      <c r="A79" s="8" t="s">
        <v>38</v>
      </c>
      <c r="B79" s="27" t="s">
        <v>39</v>
      </c>
      <c r="C79" s="9" t="s">
        <v>223</v>
      </c>
      <c r="D79" s="9" t="s">
        <v>223</v>
      </c>
      <c r="E79" s="10" t="s">
        <v>215</v>
      </c>
      <c r="F79" s="9" t="s">
        <v>223</v>
      </c>
      <c r="G79" s="11" t="s">
        <v>221</v>
      </c>
      <c r="H79" s="12"/>
      <c r="I79" s="13" t="s">
        <v>224</v>
      </c>
      <c r="J79" s="12"/>
      <c r="K79" s="12"/>
      <c r="L79" s="12" t="s">
        <v>218</v>
      </c>
      <c r="M79" s="7" t="s">
        <v>225</v>
      </c>
    </row>
    <row r="80" spans="1:29">
      <c r="A80" s="8" t="s">
        <v>38</v>
      </c>
      <c r="B80" s="27" t="s">
        <v>39</v>
      </c>
      <c r="C80" s="9" t="s">
        <v>226</v>
      </c>
      <c r="D80" s="9" t="s">
        <v>226</v>
      </c>
      <c r="E80" s="10" t="s">
        <v>215</v>
      </c>
      <c r="F80" s="9" t="s">
        <v>226</v>
      </c>
      <c r="G80" s="11" t="s">
        <v>50</v>
      </c>
      <c r="H80" s="12"/>
      <c r="I80" s="13" t="s">
        <v>227</v>
      </c>
      <c r="J80" s="12"/>
      <c r="K80" s="12"/>
      <c r="L80" s="12" t="s">
        <v>218</v>
      </c>
      <c r="M80" s="7" t="s">
        <v>225</v>
      </c>
    </row>
    <row r="81" spans="1:13" s="23" customFormat="1">
      <c r="A81" s="20" t="s">
        <v>38</v>
      </c>
      <c r="B81" s="27" t="s">
        <v>39</v>
      </c>
      <c r="C81" s="21" t="s">
        <v>228</v>
      </c>
      <c r="D81" s="21" t="s">
        <v>228</v>
      </c>
      <c r="E81" s="22" t="s">
        <v>229</v>
      </c>
      <c r="F81" s="21" t="s">
        <v>228</v>
      </c>
      <c r="L81" s="23" t="s">
        <v>218</v>
      </c>
    </row>
    <row r="82" spans="1:13">
      <c r="A82" s="8" t="s">
        <v>38</v>
      </c>
      <c r="B82" s="27" t="s">
        <v>39</v>
      </c>
      <c r="C82" s="9" t="s">
        <v>230</v>
      </c>
      <c r="D82" s="9" t="s">
        <v>230</v>
      </c>
      <c r="E82" s="10" t="s">
        <v>215</v>
      </c>
      <c r="F82" s="9" t="s">
        <v>230</v>
      </c>
      <c r="G82" s="11" t="s">
        <v>50</v>
      </c>
      <c r="H82" s="12"/>
      <c r="I82" s="13" t="s">
        <v>231</v>
      </c>
      <c r="J82" s="12"/>
      <c r="K82" s="12"/>
      <c r="L82" s="12" t="s">
        <v>218</v>
      </c>
      <c r="M82" s="7" t="s">
        <v>232</v>
      </c>
    </row>
    <row r="83" spans="1:13">
      <c r="A83" s="8" t="s">
        <v>38</v>
      </c>
      <c r="B83" s="27" t="s">
        <v>39</v>
      </c>
      <c r="C83" s="9" t="s">
        <v>233</v>
      </c>
      <c r="D83" s="9" t="s">
        <v>233</v>
      </c>
      <c r="E83" s="10" t="s">
        <v>215</v>
      </c>
      <c r="F83" s="9" t="s">
        <v>233</v>
      </c>
      <c r="G83" s="11" t="s">
        <v>50</v>
      </c>
      <c r="H83" s="12"/>
      <c r="I83" s="13" t="s">
        <v>227</v>
      </c>
      <c r="J83" s="12"/>
      <c r="K83" s="12"/>
      <c r="L83" s="12" t="s">
        <v>218</v>
      </c>
      <c r="M83" s="7" t="s">
        <v>173</v>
      </c>
    </row>
    <row r="84" spans="1:13">
      <c r="A84" s="8" t="s">
        <v>38</v>
      </c>
      <c r="B84" s="27" t="s">
        <v>39</v>
      </c>
      <c r="C84" s="9" t="s">
        <v>234</v>
      </c>
      <c r="D84" s="9" t="s">
        <v>234</v>
      </c>
      <c r="E84" s="10" t="s">
        <v>215</v>
      </c>
      <c r="F84" s="9" t="s">
        <v>234</v>
      </c>
      <c r="G84" s="11" t="s">
        <v>50</v>
      </c>
      <c r="H84" s="12"/>
      <c r="I84" s="13" t="s">
        <v>235</v>
      </c>
      <c r="J84" s="12"/>
      <c r="K84" s="12"/>
      <c r="L84" s="12" t="s">
        <v>218</v>
      </c>
      <c r="M84" s="7" t="s">
        <v>173</v>
      </c>
    </row>
    <row r="85" spans="1:13">
      <c r="A85" s="8" t="s">
        <v>38</v>
      </c>
      <c r="B85" s="27" t="s">
        <v>39</v>
      </c>
      <c r="C85" s="9" t="s">
        <v>236</v>
      </c>
      <c r="D85" s="9" t="s">
        <v>236</v>
      </c>
      <c r="E85" s="10" t="s">
        <v>215</v>
      </c>
      <c r="F85" s="9" t="s">
        <v>236</v>
      </c>
      <c r="G85" s="11" t="s">
        <v>50</v>
      </c>
      <c r="H85" s="12"/>
      <c r="I85" s="13" t="s">
        <v>235</v>
      </c>
      <c r="J85" s="12"/>
      <c r="K85" s="12"/>
      <c r="L85" s="12" t="s">
        <v>218</v>
      </c>
      <c r="M85" s="7" t="s">
        <v>237</v>
      </c>
    </row>
    <row r="86" spans="1:13">
      <c r="A86" s="8" t="s">
        <v>38</v>
      </c>
      <c r="B86" s="27" t="s">
        <v>39</v>
      </c>
      <c r="C86" s="9" t="s">
        <v>238</v>
      </c>
      <c r="D86" s="9" t="s">
        <v>238</v>
      </c>
      <c r="E86" s="10" t="s">
        <v>215</v>
      </c>
      <c r="F86" s="9" t="s">
        <v>238</v>
      </c>
      <c r="G86" s="11" t="s">
        <v>50</v>
      </c>
      <c r="H86" s="12"/>
      <c r="I86" s="13" t="s">
        <v>239</v>
      </c>
      <c r="J86" s="12"/>
      <c r="K86" s="12"/>
      <c r="L86" s="12" t="s">
        <v>218</v>
      </c>
      <c r="M86" s="7" t="s">
        <v>240</v>
      </c>
    </row>
    <row r="87" spans="1:13">
      <c r="A87" s="8" t="s">
        <v>38</v>
      </c>
      <c r="B87" s="27" t="s">
        <v>39</v>
      </c>
      <c r="C87" s="9" t="s">
        <v>241</v>
      </c>
      <c r="D87" s="9" t="s">
        <v>241</v>
      </c>
      <c r="E87" s="10" t="s">
        <v>215</v>
      </c>
      <c r="F87" s="9" t="s">
        <v>241</v>
      </c>
      <c r="G87" s="11" t="s">
        <v>50</v>
      </c>
      <c r="H87" s="12"/>
      <c r="I87" s="13" t="s">
        <v>239</v>
      </c>
      <c r="J87" s="12"/>
      <c r="K87" s="12"/>
      <c r="L87" s="12" t="s">
        <v>218</v>
      </c>
      <c r="M87" s="7" t="s">
        <v>242</v>
      </c>
    </row>
    <row r="88" spans="1:13">
      <c r="A88" s="8" t="s">
        <v>38</v>
      </c>
      <c r="B88" s="27" t="s">
        <v>39</v>
      </c>
      <c r="C88" s="9" t="s">
        <v>243</v>
      </c>
      <c r="D88" s="9" t="s">
        <v>243</v>
      </c>
      <c r="E88" s="10" t="s">
        <v>215</v>
      </c>
      <c r="F88" s="9" t="s">
        <v>243</v>
      </c>
      <c r="G88" s="11" t="s">
        <v>50</v>
      </c>
      <c r="H88" s="12"/>
      <c r="I88" s="13" t="s">
        <v>239</v>
      </c>
      <c r="J88" s="12"/>
      <c r="K88" s="12"/>
      <c r="L88" s="12" t="s">
        <v>218</v>
      </c>
      <c r="M88" s="7" t="s">
        <v>244</v>
      </c>
    </row>
    <row r="89" spans="1:13">
      <c r="A89" s="8" t="s">
        <v>38</v>
      </c>
      <c r="B89" s="27" t="s">
        <v>39</v>
      </c>
      <c r="C89" s="9" t="s">
        <v>245</v>
      </c>
      <c r="D89" s="9" t="s">
        <v>245</v>
      </c>
      <c r="E89" s="10" t="s">
        <v>215</v>
      </c>
      <c r="F89" s="9" t="s">
        <v>245</v>
      </c>
      <c r="G89" s="11" t="s">
        <v>50</v>
      </c>
      <c r="H89" s="12"/>
      <c r="I89" s="13" t="s">
        <v>239</v>
      </c>
      <c r="J89" s="12"/>
      <c r="K89" s="12"/>
      <c r="L89" s="12" t="s">
        <v>218</v>
      </c>
      <c r="M89" s="7" t="s">
        <v>246</v>
      </c>
    </row>
    <row r="90" spans="1:13">
      <c r="A90" s="8" t="s">
        <v>38</v>
      </c>
      <c r="B90" s="27" t="s">
        <v>39</v>
      </c>
      <c r="C90" s="9" t="s">
        <v>247</v>
      </c>
      <c r="D90" s="9" t="s">
        <v>247</v>
      </c>
      <c r="E90" s="10" t="s">
        <v>215</v>
      </c>
      <c r="F90" s="9" t="s">
        <v>247</v>
      </c>
      <c r="G90" s="11" t="s">
        <v>50</v>
      </c>
      <c r="H90" s="12"/>
      <c r="I90" s="13" t="s">
        <v>239</v>
      </c>
      <c r="J90" s="12"/>
      <c r="K90" s="12"/>
      <c r="L90" s="12" t="s">
        <v>218</v>
      </c>
      <c r="M90" s="7" t="s">
        <v>248</v>
      </c>
    </row>
    <row r="91" spans="1:13">
      <c r="A91" s="8" t="s">
        <v>38</v>
      </c>
      <c r="B91" s="27" t="s">
        <v>39</v>
      </c>
      <c r="C91" s="9" t="s">
        <v>249</v>
      </c>
      <c r="D91" s="9" t="s">
        <v>249</v>
      </c>
      <c r="E91" s="10" t="s">
        <v>215</v>
      </c>
      <c r="F91" s="9" t="s">
        <v>249</v>
      </c>
      <c r="G91" s="11" t="s">
        <v>50</v>
      </c>
      <c r="H91" s="12"/>
      <c r="I91" s="13" t="s">
        <v>250</v>
      </c>
      <c r="J91" s="12"/>
      <c r="K91" s="12"/>
      <c r="L91" s="12" t="s">
        <v>218</v>
      </c>
      <c r="M91" s="7" t="s">
        <v>251</v>
      </c>
    </row>
    <row r="92" spans="1:13">
      <c r="A92" s="8" t="s">
        <v>38</v>
      </c>
      <c r="B92" s="27" t="s">
        <v>39</v>
      </c>
      <c r="C92" s="9" t="s">
        <v>252</v>
      </c>
      <c r="D92" s="9" t="s">
        <v>252</v>
      </c>
      <c r="E92" s="10" t="s">
        <v>253</v>
      </c>
      <c r="F92" s="9" t="s">
        <v>252</v>
      </c>
      <c r="G92" s="11" t="s">
        <v>254</v>
      </c>
      <c r="H92" s="12"/>
      <c r="I92" s="13" t="s">
        <v>255</v>
      </c>
      <c r="J92" s="12"/>
      <c r="K92" s="12"/>
      <c r="L92" s="12" t="s">
        <v>218</v>
      </c>
      <c r="M92" s="7" t="s">
        <v>256</v>
      </c>
    </row>
    <row r="93" spans="1:13">
      <c r="A93" s="8" t="s">
        <v>38</v>
      </c>
      <c r="B93" s="27" t="s">
        <v>39</v>
      </c>
      <c r="C93" s="9" t="s">
        <v>257</v>
      </c>
      <c r="D93" s="9" t="s">
        <v>257</v>
      </c>
      <c r="E93" s="10" t="s">
        <v>253</v>
      </c>
      <c r="F93" s="9" t="s">
        <v>257</v>
      </c>
      <c r="G93" s="11" t="s">
        <v>254</v>
      </c>
      <c r="H93" s="12"/>
      <c r="I93" s="13" t="s">
        <v>255</v>
      </c>
      <c r="J93" s="12"/>
      <c r="K93" s="12"/>
      <c r="L93" s="12" t="s">
        <v>218</v>
      </c>
      <c r="M93" s="7" t="s">
        <v>258</v>
      </c>
    </row>
    <row r="94" spans="1:13">
      <c r="A94" s="8" t="s">
        <v>38</v>
      </c>
      <c r="B94" s="27" t="s">
        <v>39</v>
      </c>
      <c r="C94" s="9" t="s">
        <v>259</v>
      </c>
      <c r="D94" s="9" t="s">
        <v>259</v>
      </c>
      <c r="E94" s="10" t="s">
        <v>215</v>
      </c>
      <c r="F94" s="9" t="s">
        <v>259</v>
      </c>
      <c r="G94" s="11" t="s">
        <v>260</v>
      </c>
      <c r="H94" s="12"/>
      <c r="I94" s="13" t="s">
        <v>261</v>
      </c>
      <c r="J94" s="12"/>
      <c r="K94" s="12"/>
      <c r="L94" s="12" t="s">
        <v>218</v>
      </c>
      <c r="M94" s="7" t="s">
        <v>262</v>
      </c>
    </row>
    <row r="95" spans="1:13">
      <c r="A95" s="8" t="s">
        <v>38</v>
      </c>
      <c r="B95" s="27" t="s">
        <v>39</v>
      </c>
      <c r="C95" s="9" t="s">
        <v>263</v>
      </c>
      <c r="D95" s="9" t="s">
        <v>263</v>
      </c>
      <c r="E95" s="10" t="s">
        <v>215</v>
      </c>
      <c r="F95" s="9" t="s">
        <v>263</v>
      </c>
      <c r="G95" s="24" t="s">
        <v>264</v>
      </c>
      <c r="H95" s="12"/>
      <c r="I95" s="25" t="s">
        <v>265</v>
      </c>
      <c r="J95" s="12"/>
      <c r="K95" s="12"/>
      <c r="L95" s="12" t="s">
        <v>218</v>
      </c>
      <c r="M95" s="7" t="s">
        <v>266</v>
      </c>
    </row>
    <row r="96" spans="1:13">
      <c r="A96" s="8" t="s">
        <v>38</v>
      </c>
      <c r="B96" s="27" t="s">
        <v>39</v>
      </c>
      <c r="C96" s="9" t="s">
        <v>267</v>
      </c>
      <c r="D96" s="9" t="s">
        <v>267</v>
      </c>
      <c r="E96" s="10" t="s">
        <v>215</v>
      </c>
      <c r="F96" s="9" t="s">
        <v>267</v>
      </c>
      <c r="G96" s="24" t="s">
        <v>50</v>
      </c>
      <c r="H96" s="12"/>
      <c r="I96" s="25" t="s">
        <v>268</v>
      </c>
      <c r="J96" s="12"/>
      <c r="K96" s="12"/>
      <c r="L96" s="12" t="s">
        <v>218</v>
      </c>
      <c r="M96" s="7" t="s">
        <v>269</v>
      </c>
    </row>
    <row r="97" spans="1:13">
      <c r="A97" s="8" t="s">
        <v>38</v>
      </c>
      <c r="B97" s="27" t="s">
        <v>39</v>
      </c>
      <c r="C97" s="9" t="s">
        <v>270</v>
      </c>
      <c r="D97" s="9" t="s">
        <v>270</v>
      </c>
      <c r="E97" s="10" t="s">
        <v>215</v>
      </c>
      <c r="F97" s="9" t="s">
        <v>270</v>
      </c>
      <c r="G97" s="24" t="s">
        <v>50</v>
      </c>
      <c r="H97" s="12"/>
      <c r="I97" s="13" t="s">
        <v>268</v>
      </c>
      <c r="J97" s="12"/>
      <c r="K97" s="12"/>
      <c r="L97" s="12" t="s">
        <v>218</v>
      </c>
      <c r="M97" s="7" t="s">
        <v>271</v>
      </c>
    </row>
    <row r="98" spans="1:13">
      <c r="B98" s="27"/>
    </row>
    <row r="99" spans="1:13">
      <c r="B99" s="27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Brigham Young University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Prasadika Samarawickrama Hetti Arachchige</dc:creator>
  <cp:keywords/>
  <dc:description/>
  <cp:lastModifiedBy>David Bennett</cp:lastModifiedBy>
  <cp:revision/>
  <dcterms:created xsi:type="dcterms:W3CDTF">2025-11-17T17:18:12Z</dcterms:created>
  <dcterms:modified xsi:type="dcterms:W3CDTF">2026-07-13T18:55:12Z</dcterms:modified>
  <cp:category/>
  <cp:contentStatus/>
</cp:coreProperties>
</file>