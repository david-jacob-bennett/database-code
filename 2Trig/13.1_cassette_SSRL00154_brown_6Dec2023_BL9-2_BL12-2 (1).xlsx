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37" documentId="11_0380C02F478A8EA52F41F104D3E7DF925F67799B" xr6:coauthVersionLast="47" xr6:coauthVersionMax="47" xr10:uidLastSave="{603F0A36-1E78-4F88-9563-7B16D508D94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xqQ7+WegIoL9L/n+yp7cMpcvNE9G43BuGA5UROX0zg="/>
    </ext>
  </extLst>
</workbook>
</file>

<file path=xl/calcChain.xml><?xml version="1.0" encoding="utf-8"?>
<calcChain xmlns="http://schemas.openxmlformats.org/spreadsheetml/2006/main">
  <c r="O60" i="1" l="1"/>
  <c r="O59" i="1"/>
  <c r="O55" i="1"/>
  <c r="P49" i="1"/>
  <c r="O118" i="1"/>
  <c r="O109" i="1"/>
  <c r="O97" i="1"/>
</calcChain>
</file>

<file path=xl/sharedStrings.xml><?xml version="1.0" encoding="utf-8"?>
<sst xmlns="http://schemas.openxmlformats.org/spreadsheetml/2006/main" count="1491" uniqueCount="628">
  <si>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</si>
  <si>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</si>
  <si>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</si>
  <si>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</si>
  <si>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</si>
  <si>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</si>
  <si>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</si>
  <si>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</si>
  <si>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Crystal minor axis (um)</t>
  </si>
  <si>
    <t>Crystal major axis (um)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</si>
  <si>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</si>
  <si>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</si>
  <si>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</si>
  <si>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</si>
  <si>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</si>
  <si>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</si>
  <si>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</si>
  <si>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</si>
  <si>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</si>
  <si>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</si>
  <si>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</si>
  <si>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</si>
  <si>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</si>
  <si>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</si>
  <si>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iso min CC1/2</t>
  </si>
  <si>
    <t>ansio resolution</t>
  </si>
  <si>
    <t>aniso elipsoid A</t>
  </si>
  <si>
    <t>aniso elipsoid B</t>
  </si>
  <si>
    <t>aniso elipsoid C</t>
  </si>
  <si>
    <t>UNKOWN</t>
  </si>
  <si>
    <t>A1</t>
  </si>
  <si>
    <t>1TEL-UBA-TriUbiquitin</t>
  </si>
  <si>
    <t>bulky prisms</t>
  </si>
  <si>
    <t>MG Formate H12 3mg</t>
  </si>
  <si>
    <t>Wisdom</t>
  </si>
  <si>
    <t>bad ice, no diffraction</t>
  </si>
  <si>
    <t>A2</t>
  </si>
  <si>
    <t>ice, no diffraction</t>
  </si>
  <si>
    <t>A3</t>
  </si>
  <si>
    <t>1TEL-SR-VPS34</t>
  </si>
  <si>
    <t>V-Shaped and Hexagonal crystals</t>
  </si>
  <si>
    <t>pH-NaOAc2-PEG F6 9.5mg</t>
  </si>
  <si>
    <t>no diffraction, no crystal?</t>
  </si>
  <si>
    <t>A4</t>
  </si>
  <si>
    <t>no diffraction</t>
  </si>
  <si>
    <t>A5</t>
  </si>
  <si>
    <t>9.5 A</t>
  </si>
  <si>
    <t>A6</t>
  </si>
  <si>
    <t>9.3 A</t>
  </si>
  <si>
    <t>A7</t>
  </si>
  <si>
    <t>V-Shaped and Hexagonal crystals, single</t>
  </si>
  <si>
    <t>pH-NaOAc2-PEG F7 9.5mg</t>
  </si>
  <si>
    <t>Dr. Moody</t>
  </si>
  <si>
    <t>A8</t>
  </si>
  <si>
    <t>B1</t>
  </si>
  <si>
    <t>B2</t>
  </si>
  <si>
    <t>pH-NaOAc2-PEG E6 9.5mg</t>
  </si>
  <si>
    <t>some ice, no diffraction</t>
  </si>
  <si>
    <t>B3</t>
  </si>
  <si>
    <t>12.5 A</t>
  </si>
  <si>
    <t>B4</t>
  </si>
  <si>
    <t>10.2 A</t>
  </si>
  <si>
    <t>B5</t>
  </si>
  <si>
    <t>B6</t>
  </si>
  <si>
    <t>11.3 A</t>
  </si>
  <si>
    <t>B7</t>
  </si>
  <si>
    <t>8.0 A</t>
  </si>
  <si>
    <t>B8</t>
  </si>
  <si>
    <t>C1</t>
  </si>
  <si>
    <t>1TEL-UBA (SUMO) : Mono-Ubiquitin</t>
  </si>
  <si>
    <t>cat eye</t>
  </si>
  <si>
    <t>Index B1 4mg/ml</t>
  </si>
  <si>
    <t>C2</t>
  </si>
  <si>
    <t>C3</t>
  </si>
  <si>
    <t>maybe 8.0 A</t>
  </si>
  <si>
    <t>C4</t>
  </si>
  <si>
    <t>1TEL-UBA (SUMO) : Di-Ubiquitin</t>
  </si>
  <si>
    <t>Cat-Eye</t>
  </si>
  <si>
    <t>SaltRx D6 3mg/ml</t>
  </si>
  <si>
    <t>C5</t>
  </si>
  <si>
    <t>Clumped</t>
  </si>
  <si>
    <t>SaltRx D3 3mg/ml</t>
  </si>
  <si>
    <t>3.5 A, collected, xds=2.4 A</t>
  </si>
  <si>
    <t>okay</t>
  </si>
  <si>
    <t>0.710</t>
  </si>
  <si>
    <t>0.37</t>
  </si>
  <si>
    <t>28.52</t>
  </si>
  <si>
    <t>none</t>
  </si>
  <si>
    <t>P61</t>
  </si>
  <si>
    <t>67.059 67.059 60.354 90.0 90.0 120.0</t>
  </si>
  <si>
    <t>2.355</t>
  </si>
  <si>
    <t>0.213</t>
  </si>
  <si>
    <t>6237</t>
  </si>
  <si>
    <t>96.2</t>
  </si>
  <si>
    <t>9.6</t>
  </si>
  <si>
    <t>0.425</t>
  </si>
  <si>
    <t>C6</t>
  </si>
  <si>
    <t>some ice, 3.5 A, Collected, xds=2.1 A</t>
  </si>
  <si>
    <t>good</t>
  </si>
  <si>
    <t>0.0351</t>
  </si>
  <si>
    <t>0.185</t>
  </si>
  <si>
    <t>43.23</t>
  </si>
  <si>
    <t>66.904 66.904 60.197 90.0 90.0 120.0</t>
  </si>
  <si>
    <t>2.107</t>
  </si>
  <si>
    <t>0.104</t>
  </si>
  <si>
    <t>8323</t>
  </si>
  <si>
    <t>93.2</t>
  </si>
  <si>
    <t>8.2</t>
  </si>
  <si>
    <t>0.531</t>
  </si>
  <si>
    <t>C7</t>
  </si>
  <si>
    <t>1TEL-UBA (SUMO) : Tetra-Ubiquitin</t>
  </si>
  <si>
    <t>Rice</t>
  </si>
  <si>
    <t>SaltRx B11 7.5mg/ml</t>
  </si>
  <si>
    <t>broken mitegen loop</t>
  </si>
  <si>
    <t>C8</t>
  </si>
  <si>
    <t>1TEL-UBA (SUMO) : Tri-Ubiquitin</t>
  </si>
  <si>
    <t>PegIon A9 3mg/ml</t>
  </si>
  <si>
    <t>D1</t>
  </si>
  <si>
    <t>10xHIS-VPS34</t>
  </si>
  <si>
    <t>Hexagonal Prism</t>
  </si>
  <si>
    <t>INDEX D7 10mg/ml</t>
  </si>
  <si>
    <t>some ice, 8.8 A</t>
  </si>
  <si>
    <t>D2</t>
  </si>
  <si>
    <t>some ice, 8.0 A</t>
  </si>
  <si>
    <t>Save this crystal!!</t>
  </si>
  <si>
    <t>--&gt; 2</t>
  </si>
  <si>
    <t>D3</t>
  </si>
  <si>
    <t>INDEX D10 10mg/ml</t>
  </si>
  <si>
    <t>D4</t>
  </si>
  <si>
    <t>INDEX F5 10mg/ml</t>
  </si>
  <si>
    <t>9.2 A</t>
  </si>
  <si>
    <t>D5</t>
  </si>
  <si>
    <t>INDEX G7 10mg/ml</t>
  </si>
  <si>
    <t>7.1 A, smeary</t>
  </si>
  <si>
    <t>--&gt; 3</t>
  </si>
  <si>
    <t>D6</t>
  </si>
  <si>
    <t>7.8 A, smeary</t>
  </si>
  <si>
    <t>--&gt; 4</t>
  </si>
  <si>
    <t>D7</t>
  </si>
  <si>
    <t>PEG CUSTOM A9</t>
  </si>
  <si>
    <t>6.9 A</t>
  </si>
  <si>
    <t>--&gt; 5</t>
  </si>
  <si>
    <t>D8</t>
  </si>
  <si>
    <t>PEG CUSTOM B7</t>
  </si>
  <si>
    <t>9.0, smeary</t>
  </si>
  <si>
    <t>E1</t>
  </si>
  <si>
    <t>HIS-3TEL-UBA</t>
  </si>
  <si>
    <t>rod</t>
  </si>
  <si>
    <t>SALT RX D1 6mg/ml</t>
  </si>
  <si>
    <t>prasadika</t>
  </si>
  <si>
    <t>empty loop, some ice, no diffraction</t>
  </si>
  <si>
    <t>E2</t>
  </si>
  <si>
    <t>port jam, ice, no diffraction</t>
  </si>
  <si>
    <t>Crystal huge? not centered?</t>
  </si>
  <si>
    <t>E3</t>
  </si>
  <si>
    <t>ice, 9.7 A</t>
  </si>
  <si>
    <t>E4</t>
  </si>
  <si>
    <t>SUMO-2TEL-UBA</t>
  </si>
  <si>
    <t>NEEDLE ,0.3 loop</t>
  </si>
  <si>
    <t>PEG CUS A3</t>
  </si>
  <si>
    <t>9.6 A, smeary</t>
  </si>
  <si>
    <t>E5</t>
  </si>
  <si>
    <t>7.0 A</t>
  </si>
  <si>
    <t>Recollect on BL12-2, XDS=2.5 A</t>
  </si>
  <si>
    <t>0.310</t>
  </si>
  <si>
    <t>20.33</t>
  </si>
  <si>
    <t>262-584</t>
  </si>
  <si>
    <t>P6122</t>
  </si>
  <si>
    <t>124.449 124.449 48.464 90.0 90.0 120.0</t>
  </si>
  <si>
    <t>2.285</t>
  </si>
  <si>
    <t>0.937</t>
  </si>
  <si>
    <t>10474</t>
  </si>
  <si>
    <t>100.0</t>
  </si>
  <si>
    <t>30.6</t>
  </si>
  <si>
    <t>0.407</t>
  </si>
  <si>
    <t>2.449</t>
  </si>
  <si>
    <t>rescale in P61</t>
  </si>
  <si>
    <t>0.290</t>
  </si>
  <si>
    <t>18.64</t>
  </si>
  <si>
    <t>216-589</t>
  </si>
  <si>
    <t>124.455 124.455 48.467 90.0 90.0 120.0</t>
  </si>
  <si>
    <t>2.402</t>
  </si>
  <si>
    <t>0.962</t>
  </si>
  <si>
    <t>16943</t>
  </si>
  <si>
    <t>15.5</t>
  </si>
  <si>
    <t>0.350</t>
  </si>
  <si>
    <t>2.591</t>
  </si>
  <si>
    <t>rescale in P61, rm frames</t>
  </si>
  <si>
    <t>0.551, 0.540, 0.519, 0.530</t>
  </si>
  <si>
    <t>0.240, 0.290, 0.240, 0.270</t>
  </si>
  <si>
    <t>32.67, 31.80, 50.00, 39.91</t>
  </si>
  <si>
    <t>150-650, 1000-1350 (59.0%)</t>
  </si>
  <si>
    <t>62.2238 62.2238 48.4774 90.0 90.0 120.0</t>
  </si>
  <si>
    <t>2.367</t>
  </si>
  <si>
    <t>0.163</t>
  </si>
  <si>
    <t>34690</t>
  </si>
  <si>
    <t>99.7</t>
  </si>
  <si>
    <t>7.8</t>
  </si>
  <si>
    <t>0.401</t>
  </si>
  <si>
    <t>2.218</t>
  </si>
  <si>
    <t>rescale in P61, larger cell, rm frames</t>
  </si>
  <si>
    <t>0.6527, 0.6707, 0.6657</t>
  </si>
  <si>
    <t>0.29, 0.31, 0.30</t>
  </si>
  <si>
    <t>29.27, 21.03, 37.27</t>
  </si>
  <si>
    <t>124.3986 124.3986 48.4613 90.0 90.0 120.0</t>
  </si>
  <si>
    <t>2.547</t>
  </si>
  <si>
    <t>0.326</t>
  </si>
  <si>
    <t>14232</t>
  </si>
  <si>
    <t>0.384</t>
  </si>
  <si>
    <t>2.519</t>
  </si>
  <si>
    <t>2.626</t>
  </si>
  <si>
    <t>2.828</t>
  </si>
  <si>
    <t>rm frames, no SG</t>
  </si>
  <si>
    <t>0.55255, 0.5385, 0.530</t>
  </si>
  <si>
    <t>0.25, 0.3, 0.3</t>
  </si>
  <si>
    <t>35.06, 27.30, 38.57</t>
  </si>
  <si>
    <t>P6322</t>
  </si>
  <si>
    <t>62.2068 62.2068 48.4705 90.0 90.0 120.0</t>
  </si>
  <si>
    <t>2.241</t>
  </si>
  <si>
    <t>0.190</t>
  </si>
  <si>
    <t>2939</t>
  </si>
  <si>
    <t>14.6</t>
  </si>
  <si>
    <t>0.122</t>
  </si>
  <si>
    <t>2.148</t>
  </si>
  <si>
    <t>2.127</t>
  </si>
  <si>
    <t>2.470</t>
  </si>
  <si>
    <t>rescale in P32, rm frames</t>
  </si>
  <si>
    <t>0.250</t>
  </si>
  <si>
    <t>47.20</t>
  </si>
  <si>
    <t>P32</t>
  </si>
  <si>
    <t>2.452</t>
  </si>
  <si>
    <t>0.146</t>
  </si>
  <si>
    <t>7485</t>
  </si>
  <si>
    <t>97.2</t>
  </si>
  <si>
    <t>4.0</t>
  </si>
  <si>
    <t>0.406</t>
  </si>
  <si>
    <t>2.253</t>
  </si>
  <si>
    <t>2.283</t>
  </si>
  <si>
    <t>2.593</t>
  </si>
  <si>
    <t>rescale in P32, all frames</t>
  </si>
  <si>
    <t>0.30</t>
  </si>
  <si>
    <t>124.449 124.449 48.465 90.0 90.0 120.0</t>
  </si>
  <si>
    <t>2.571</t>
  </si>
  <si>
    <t>0.672</t>
  </si>
  <si>
    <t>26611</t>
  </si>
  <si>
    <t>99.9</t>
  </si>
  <si>
    <t>0.412</t>
  </si>
  <si>
    <t>rescale in P1</t>
  </si>
  <si>
    <t>Rescale in P65, 9CPL-like cell</t>
  </si>
  <si>
    <t>0.3</t>
  </si>
  <si>
    <t>260-571</t>
  </si>
  <si>
    <t>P65</t>
  </si>
  <si>
    <t>107.698 107.698 48.423 90.0 90.0 120.0</t>
  </si>
  <si>
    <t>2.231</t>
  </si>
  <si>
    <t>0.873</t>
  </si>
  <si>
    <t>15819</t>
  </si>
  <si>
    <t>100</t>
  </si>
  <si>
    <t>16.6</t>
  </si>
  <si>
    <t>0.235</t>
  </si>
  <si>
    <t>2.510</t>
  </si>
  <si>
    <t>#2 Recollect on BL12-2, XDS=2.5 A</t>
  </si>
  <si>
    <t>Indexing failed</t>
  </si>
  <si>
    <t>E6</t>
  </si>
  <si>
    <t>8.5 A</t>
  </si>
  <si>
    <t>E7</t>
  </si>
  <si>
    <t>INDEX B1</t>
  </si>
  <si>
    <t>7.1 A, super smeary</t>
  </si>
  <si>
    <t>E8</t>
  </si>
  <si>
    <t>3.6 A, collected, XDS=3.0 A</t>
  </si>
  <si>
    <t>0.765</t>
  </si>
  <si>
    <t>0.450</t>
  </si>
  <si>
    <t>10.74</t>
  </si>
  <si>
    <t>P63</t>
  </si>
  <si>
    <t>142.262 142.262 51.722 90.0 90.0 120.0</t>
  </si>
  <si>
    <t>3.098</t>
  </si>
  <si>
    <t>0.587</t>
  </si>
  <si>
    <t>11123</t>
  </si>
  <si>
    <t>20.5</t>
  </si>
  <si>
    <t>0.609</t>
  </si>
  <si>
    <t>3.092</t>
  </si>
  <si>
    <t>rescale with no SG, rm frames</t>
  </si>
  <si>
    <t>0.7419, 0.7895</t>
  </si>
  <si>
    <t>0.450, 0.400</t>
  </si>
  <si>
    <t>11.66, 18.93</t>
  </si>
  <si>
    <t>600-1100</t>
  </si>
  <si>
    <t>142.3203 142.3203 51.7021 90.0 90.0 120.0</t>
  </si>
  <si>
    <t>3.040</t>
  </si>
  <si>
    <t>0.492</t>
  </si>
  <si>
    <t>11751</t>
  </si>
  <si>
    <t>13.2</t>
  </si>
  <si>
    <t>0.508</t>
  </si>
  <si>
    <t>3.144</t>
  </si>
  <si>
    <t>Recollect on BL12-2, 2.4 A</t>
  </si>
  <si>
    <t>0.340</t>
  </si>
  <si>
    <t>20.96</t>
  </si>
  <si>
    <t>142.680 142.680 51.512 90.0 90.0 120.0</t>
  </si>
  <si>
    <t>2.580</t>
  </si>
  <si>
    <t>0.269</t>
  </si>
  <si>
    <t>19150</t>
  </si>
  <si>
    <t>21.1</t>
  </si>
  <si>
    <t>0.361</t>
  </si>
  <si>
    <t>2.762</t>
  </si>
  <si>
    <t>0.9527, 0.9588</t>
  </si>
  <si>
    <t>0.320, 0.340</t>
  </si>
  <si>
    <t>25.83, 22.10</t>
  </si>
  <si>
    <t>500-700</t>
  </si>
  <si>
    <t>142.6618 142.6618 51.5188 90.0 90.0 120.0</t>
  </si>
  <si>
    <t>0.257</t>
  </si>
  <si>
    <t>18166</t>
  </si>
  <si>
    <t>18.7</t>
  </si>
  <si>
    <t>0.471</t>
  </si>
  <si>
    <t>2.776</t>
  </si>
  <si>
    <t>rescale in P65 with a = 122 cell</t>
  </si>
  <si>
    <t>36.78</t>
  </si>
  <si>
    <t>123.569 123.569 51.511 90.0 90.0 120.0</t>
  </si>
  <si>
    <t>2.560</t>
  </si>
  <si>
    <t>0.356</t>
  </si>
  <si>
    <t>14709</t>
  </si>
  <si>
    <t>21.2</t>
  </si>
  <si>
    <t>0.404</t>
  </si>
  <si>
    <t>rescale in P65 with a = 122 cell, rm frames</t>
  </si>
  <si>
    <t>0.7017, 0.5097</t>
  </si>
  <si>
    <t>54.24, 41.93</t>
  </si>
  <si>
    <t>400-800</t>
  </si>
  <si>
    <t>123.5640 123.5640 51.5265 90.0 90.0 120.0</t>
  </si>
  <si>
    <t>2.622</t>
  </si>
  <si>
    <t>0.313</t>
  </si>
  <si>
    <t>13703</t>
  </si>
  <si>
    <t>16.4</t>
  </si>
  <si>
    <t>0.552</t>
  </si>
  <si>
    <t>rescale in P65 with a = 122 cell, rm more frames</t>
  </si>
  <si>
    <t>0.7017, 0.601833</t>
  </si>
  <si>
    <t>54.24, 46.04</t>
  </si>
  <si>
    <t>400-850, 1750-1800</t>
  </si>
  <si>
    <t>123.5602 123.5602 51.5267 90.0 90.0 120.0</t>
  </si>
  <si>
    <t>2.600</t>
  </si>
  <si>
    <t>0.324</t>
  </si>
  <si>
    <t>14046</t>
  </si>
  <si>
    <t>15.3</t>
  </si>
  <si>
    <t>0.555</t>
  </si>
  <si>
    <t>rescale in P65 with a = 122 cell, rm even more frames</t>
  </si>
  <si>
    <t>0.7017, 0.7128</t>
  </si>
  <si>
    <t>54.24, 56.18</t>
  </si>
  <si>
    <t>400-850, 1400-1800</t>
  </si>
  <si>
    <t>123.5315 123.5315 51.5201 90.0 90.0 120.0</t>
  </si>
  <si>
    <t>2.658</t>
  </si>
  <si>
    <t>0.278</t>
  </si>
  <si>
    <t>13139</t>
  </si>
  <si>
    <t>11.1</t>
  </si>
  <si>
    <t>0.503</t>
  </si>
  <si>
    <t>F1</t>
  </si>
  <si>
    <t>NEEDLE ,0.2 loop</t>
  </si>
  <si>
    <t>some ice, 5.9 A, smeary</t>
  </si>
  <si>
    <t>F2</t>
  </si>
  <si>
    <t>SUMO-2TEL -TV-VWA</t>
  </si>
  <si>
    <t>large rod with needles ,0.8 loop</t>
  </si>
  <si>
    <t>SALT RX OPT E4 17mhg/ml</t>
  </si>
  <si>
    <t>polycrystalline, 1.5 A</t>
  </si>
  <si>
    <t>F3</t>
  </si>
  <si>
    <t>large rod with needles ,0.6 loop</t>
  </si>
  <si>
    <t>F4</t>
  </si>
  <si>
    <t>needle ,0.2 loop</t>
  </si>
  <si>
    <t>F5</t>
  </si>
  <si>
    <t>F6</t>
  </si>
  <si>
    <t>some ice, no diffraction, empty loop?</t>
  </si>
  <si>
    <t>F7</t>
  </si>
  <si>
    <t>F8</t>
  </si>
  <si>
    <t>plsate ,0.2 loop</t>
  </si>
  <si>
    <t>G1</t>
  </si>
  <si>
    <t>SALT RX OPT H6 17mhg/ml</t>
  </si>
  <si>
    <t>G2</t>
  </si>
  <si>
    <t>G3</t>
  </si>
  <si>
    <t>G4</t>
  </si>
  <si>
    <t>G5</t>
  </si>
  <si>
    <t>G6</t>
  </si>
  <si>
    <t>split crystal?, some ice, no diffraction</t>
  </si>
  <si>
    <t>G7</t>
  </si>
  <si>
    <t>LARGE COMBINED ROD ,0.6 loop</t>
  </si>
  <si>
    <t>SALT RX OPT H62 3mhg/ml</t>
  </si>
  <si>
    <t>G8</t>
  </si>
  <si>
    <t>LARGE SINGLE ROD ,0.8 loop</t>
  </si>
  <si>
    <t>SALT RX OPT G62 3mhg/ml</t>
  </si>
  <si>
    <t>H1</t>
  </si>
  <si>
    <t>COMBINED PLATES ,0.8 loop</t>
  </si>
  <si>
    <t>SALT RX OPT G63 17mhg/ml</t>
  </si>
  <si>
    <t>empty loop</t>
  </si>
  <si>
    <t>H2</t>
  </si>
  <si>
    <t>plate ,0.2 loop</t>
  </si>
  <si>
    <t>H3</t>
  </si>
  <si>
    <t>H4</t>
  </si>
  <si>
    <t>H5</t>
  </si>
  <si>
    <t>H6</t>
  </si>
  <si>
    <t>SUMO-3TEL -TV-VWA</t>
  </si>
  <si>
    <t>RECTANGULAR PRISM ,0.1 loop</t>
  </si>
  <si>
    <t>SALT RX OPT E3 9mg/ml</t>
  </si>
  <si>
    <t>no diffraction, empty loop?</t>
  </si>
  <si>
    <t>H7</t>
  </si>
  <si>
    <t>RECTANGULAR PRISM ,0.2 loop</t>
  </si>
  <si>
    <t>H8</t>
  </si>
  <si>
    <t>I1</t>
  </si>
  <si>
    <t>I2</t>
  </si>
  <si>
    <t>I3</t>
  </si>
  <si>
    <t>I4</t>
  </si>
  <si>
    <t>I5</t>
  </si>
  <si>
    <t>INDEX F8 9mg/ml</t>
  </si>
  <si>
    <t>I6</t>
  </si>
  <si>
    <t>I7</t>
  </si>
  <si>
    <t>I8</t>
  </si>
  <si>
    <t>SUMO-1TEL -TV-VWA</t>
  </si>
  <si>
    <t>PEG OPT C2 14mg/ml</t>
  </si>
  <si>
    <t>J1</t>
  </si>
  <si>
    <t>LONG IRREGULAR RODS 0.2</t>
  </si>
  <si>
    <t>AMMSUL C9 9mg/ml</t>
  </si>
  <si>
    <t>J2</t>
  </si>
  <si>
    <t>J3</t>
  </si>
  <si>
    <t>10X HIS-2TEL -TV-VWA</t>
  </si>
  <si>
    <t>BLOBY 0.2</t>
  </si>
  <si>
    <t>PEG OPT C4 5mg/ml</t>
  </si>
  <si>
    <t>polycrystalline salt?, 7.7 A</t>
  </si>
  <si>
    <t>J4</t>
  </si>
  <si>
    <t>10X HIS-3TEL -TV-VWA</t>
  </si>
  <si>
    <t>PEG OPT H5mg/ml</t>
  </si>
  <si>
    <t>J5</t>
  </si>
  <si>
    <t>PEG OPT H7mg/ml</t>
  </si>
  <si>
    <t>J6</t>
  </si>
  <si>
    <t>PEG OPT H6mg/ml</t>
  </si>
  <si>
    <t>J7</t>
  </si>
  <si>
    <t>10X HIS-3TEL -GG-UBA</t>
  </si>
  <si>
    <t>SARX B11</t>
  </si>
  <si>
    <t>3.4 A, Collected, XDS=2.8 A</t>
  </si>
  <si>
    <t>0.400</t>
  </si>
  <si>
    <t>19.94</t>
  </si>
  <si>
    <t>141.176 141.176 54.063 90.0 90.0 120.0</t>
  </si>
  <si>
    <t>2.868</t>
  </si>
  <si>
    <t>0.626</t>
  </si>
  <si>
    <t>13519</t>
  </si>
  <si>
    <t>94.2</t>
  </si>
  <si>
    <t>20.1</t>
  </si>
  <si>
    <t>0.613</t>
  </si>
  <si>
    <t>2.967</t>
  </si>
  <si>
    <t>0.3259, 0.3270</t>
  </si>
  <si>
    <t>0.350, 0.350</t>
  </si>
  <si>
    <t>34.30, 30.78</t>
  </si>
  <si>
    <t>300-700, 1000-1400 (55.5%)</t>
  </si>
  <si>
    <t>140.7938 53.9301 140.7289 90.0000 119.9836 90.0000</t>
  </si>
  <si>
    <t>2.842</t>
  </si>
  <si>
    <t>0.183</t>
  </si>
  <si>
    <t>13456</t>
  </si>
  <si>
    <t>61.4</t>
  </si>
  <si>
    <t>4.7</t>
  </si>
  <si>
    <t>0.527</t>
  </si>
  <si>
    <t>2.700</t>
  </si>
  <si>
    <t>rescale with no SG, rm fewer frames (2)</t>
  </si>
  <si>
    <t>0.3845, 0.3723, 0.3062</t>
  </si>
  <si>
    <t>0.320, 0.375, 0.330</t>
  </si>
  <si>
    <t>25.91, 21.30, 24.68</t>
  </si>
  <si>
    <t>400-600, 1100-1300 (22.2%)</t>
  </si>
  <si>
    <t>141.0679 141.0679 54.0281 90.0 90.0 120.0</t>
  </si>
  <si>
    <t>2.822</t>
  </si>
  <si>
    <t>0.395</t>
  </si>
  <si>
    <t>15004</t>
  </si>
  <si>
    <t>12.5</t>
  </si>
  <si>
    <t>0.420</t>
  </si>
  <si>
    <t>2.951</t>
  </si>
  <si>
    <t>rescale with no SG, rm a bit more frames (3)</t>
  </si>
  <si>
    <t>0.3294, 0.3234, 0.2583</t>
  </si>
  <si>
    <t>0.320, 0.350, 0.330</t>
  </si>
  <si>
    <t>32.89, 27.93, 25.58</t>
  </si>
  <si>
    <t>350-650, 1100-1300 (34.7%)</t>
  </si>
  <si>
    <t>140.7973 53.9437 140.7614 90.0000 119.9787 90.0000</t>
  </si>
  <si>
    <t>2.894</t>
  </si>
  <si>
    <t>0.194</t>
  </si>
  <si>
    <t>17383</t>
  </si>
  <si>
    <t>83.6</t>
  </si>
  <si>
    <t>4.9</t>
  </si>
  <si>
    <t>0.463</t>
  </si>
  <si>
    <t>2.684</t>
  </si>
  <si>
    <t>rescale in P61, rm a bit fewer frames (4)</t>
  </si>
  <si>
    <t>0.3809, 0.3745, 0.3102</t>
  </si>
  <si>
    <t>0.300, 0.360, 0.340</t>
  </si>
  <si>
    <t>26.86, 20.98, 24.64</t>
  </si>
  <si>
    <t>370-630, 1100-1300 (25.6%)</t>
  </si>
  <si>
    <t>141.0558 141.0558 54.0239 90.0 90.0 120.0</t>
  </si>
  <si>
    <t>2.819</t>
  </si>
  <si>
    <t>15051</t>
  </si>
  <si>
    <t>12.8</t>
  </si>
  <si>
    <t>0.576</t>
  </si>
  <si>
    <t>repeat rescaling #(3) but in P61 (5)</t>
  </si>
  <si>
    <t>0.3316, 0.3255, 0.2656</t>
  </si>
  <si>
    <t>0.300, 0.350, 0.340</t>
  </si>
  <si>
    <t>35.75, 28.74, 24.91</t>
  </si>
  <si>
    <t>P1</t>
  </si>
  <si>
    <t>53.9834 75.4419 124.9633 85.5451 77.5081 69.0444</t>
  </si>
  <si>
    <t>repeat rescaling #(3) but in P2 (6)</t>
  </si>
  <si>
    <t>Recollect on BL12-2, 2.8 A</t>
  </si>
  <si>
    <t>0.8699</t>
  </si>
  <si>
    <t>30.75</t>
  </si>
  <si>
    <t>140.945 140.945 53.800 90.0 90.0 120.0</t>
  </si>
  <si>
    <t>2.808</t>
  </si>
  <si>
    <t>0.512</t>
  </si>
  <si>
    <t>14905</t>
  </si>
  <si>
    <t>98.3</t>
  </si>
  <si>
    <t>20.9</t>
  </si>
  <si>
    <t>0.542</t>
  </si>
  <si>
    <t>2.940</t>
  </si>
  <si>
    <t>0.8855, 0.8732</t>
  </si>
  <si>
    <t>0.450, 0.440</t>
  </si>
  <si>
    <t>38.68, 46.30</t>
  </si>
  <si>
    <t>600-1000, 1400-1800 (44.4%)</t>
  </si>
  <si>
    <t>140.7392 140.7392 53.7084 90.0 90.0 120.0</t>
  </si>
  <si>
    <t>2.806</t>
  </si>
  <si>
    <t>0.338</t>
  </si>
  <si>
    <t>15094</t>
  </si>
  <si>
    <t>99.8</t>
  </si>
  <si>
    <t>11.6</t>
  </si>
  <si>
    <t>0.483</t>
  </si>
  <si>
    <t>2.966</t>
  </si>
  <si>
    <t>rescale with no SG, rm more frames (2)</t>
  </si>
  <si>
    <t>0.8813, 0.8732</t>
  </si>
  <si>
    <t>0.440, 0.440</t>
  </si>
  <si>
    <t>42.29, 48.05</t>
  </si>
  <si>
    <t>1-100, 600-1000, 1400-1800 50%)</t>
  </si>
  <si>
    <t>140.7166 140.7166 53.7013 90.0 90.0 120.0</t>
  </si>
  <si>
    <t>15040</t>
  </si>
  <si>
    <t>10.4</t>
  </si>
  <si>
    <t>0.477</t>
  </si>
  <si>
    <t>2.983</t>
  </si>
  <si>
    <t>rescale with no SG, rm even more frames (2)</t>
  </si>
  <si>
    <t>1-200, 500-1100, 1400-1800 66.70%)</t>
  </si>
  <si>
    <t>Recollect on BL12-2 run2, 2.4 A</t>
  </si>
  <si>
    <t>0.8309</t>
  </si>
  <si>
    <t>0.260</t>
  </si>
  <si>
    <t>29.05</t>
  </si>
  <si>
    <t>141.143 141.143 54.072 90.0 90.0 120.0</t>
  </si>
  <si>
    <t>2.533</t>
  </si>
  <si>
    <t>0.334</t>
  </si>
  <si>
    <t>19890</t>
  </si>
  <si>
    <t>95.9</t>
  </si>
  <si>
    <t>0.419</t>
  </si>
  <si>
    <t>2.667</t>
  </si>
  <si>
    <t>rescale after removing worst frames</t>
  </si>
  <si>
    <t>30.22</t>
  </si>
  <si>
    <t>1400-1800 (22.2%)</t>
  </si>
  <si>
    <t>141.065 141.065 54.049 90.0 90.0 120.0</t>
  </si>
  <si>
    <t>2.518</t>
  </si>
  <si>
    <t>0.265</t>
  </si>
  <si>
    <t>20191</t>
  </si>
  <si>
    <t>95.8</t>
  </si>
  <si>
    <t>0.446</t>
  </si>
  <si>
    <t>rescale in P1 after removing worst frames</t>
  </si>
  <si>
    <t>0.280</t>
  </si>
  <si>
    <t>33.98</t>
  </si>
  <si>
    <t>141.100 141.261 54.092 89.977 90.047 119.967</t>
  </si>
  <si>
    <t>0.158</t>
  </si>
  <si>
    <t>79052</t>
  </si>
  <si>
    <t>90.5</t>
  </si>
  <si>
    <t>3.0</t>
  </si>
  <si>
    <t>0.435</t>
  </si>
  <si>
    <t>2.953</t>
  </si>
  <si>
    <t>2.938</t>
  </si>
  <si>
    <t>3.426</t>
  </si>
  <si>
    <t>3.658</t>
  </si>
  <si>
    <t>rescale in P1 with all frames</t>
  </si>
  <si>
    <t>30.65</t>
  </si>
  <si>
    <t>141.144 141.403 54.116 89.969 90.045 119.960</t>
  </si>
  <si>
    <t>2.820</t>
  </si>
  <si>
    <t>0.188</t>
  </si>
  <si>
    <t>79614</t>
  </si>
  <si>
    <t>91.1</t>
  </si>
  <si>
    <t>3.9</t>
  </si>
  <si>
    <t>0.374</t>
  </si>
  <si>
    <t>2.928</t>
  </si>
  <si>
    <t>2.950</t>
  </si>
  <si>
    <t>3.316</t>
  </si>
  <si>
    <t>3.632</t>
  </si>
  <si>
    <t>J8</t>
  </si>
  <si>
    <t>6.4 A</t>
  </si>
  <si>
    <t>--&gt; 6</t>
  </si>
  <si>
    <t>K1</t>
  </si>
  <si>
    <t>empty loop, ice</t>
  </si>
  <si>
    <t>K2</t>
  </si>
  <si>
    <t>7.2 A</t>
  </si>
  <si>
    <t>--&gt; 7</t>
  </si>
  <si>
    <t>K3</t>
  </si>
  <si>
    <t>some ice, 8.6 A</t>
  </si>
  <si>
    <t>K4</t>
  </si>
  <si>
    <t>8.5 A, smeary</t>
  </si>
  <si>
    <t>K5</t>
  </si>
  <si>
    <t>6.2 A on BL14-1, Collect on BL12-2, collected, XDS=3.0</t>
  </si>
  <si>
    <t>0.490</t>
  </si>
  <si>
    <t>15.23</t>
  </si>
  <si>
    <t>142.553 52.091 142.831 90.000 119.616 90.000</t>
  </si>
  <si>
    <t>3.185</t>
  </si>
  <si>
    <t>0.343</t>
  </si>
  <si>
    <t>14948</t>
  </si>
  <si>
    <t>95.6</t>
  </si>
  <si>
    <t>6.7</t>
  </si>
  <si>
    <t>0.702</t>
  </si>
  <si>
    <t>2.963</t>
  </si>
  <si>
    <t>51.993 75.726 126.548 85.739 78.238 69.980</t>
  </si>
  <si>
    <t>3.276</t>
  </si>
  <si>
    <t>0.300</t>
  </si>
  <si>
    <t>24363</t>
  </si>
  <si>
    <t>89.3</t>
  </si>
  <si>
    <t>3.8</t>
  </si>
  <si>
    <t>0.315</t>
  </si>
  <si>
    <t>3.062</t>
  </si>
  <si>
    <t>K6</t>
  </si>
  <si>
    <t>K7</t>
  </si>
  <si>
    <t>ice, 14A</t>
  </si>
  <si>
    <t>K8</t>
  </si>
  <si>
    <t>SUMO-3TEL-UBA</t>
  </si>
  <si>
    <t>needle, 0.3 loop</t>
  </si>
  <si>
    <t>PEG CUS B2 2mg/ml</t>
  </si>
  <si>
    <t>PRASADIKA</t>
  </si>
  <si>
    <t>L1</t>
  </si>
  <si>
    <t>L2</t>
  </si>
  <si>
    <t>bent needle, no diffraction</t>
  </si>
  <si>
    <t>L3</t>
  </si>
  <si>
    <t>14 A</t>
  </si>
  <si>
    <t>L4</t>
  </si>
  <si>
    <t>L5</t>
  </si>
  <si>
    <t>L6</t>
  </si>
  <si>
    <t>L7</t>
  </si>
  <si>
    <t>L8</t>
  </si>
  <si>
    <t>3TEL-VWA</t>
  </si>
  <si>
    <t>LONG ROD 0.3</t>
  </si>
  <si>
    <t>SALTRX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</si>
</sst>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000"/>
    <numFmt numFmtId="166" formatCode="0.0000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u/>
      <sz val="10"/>
      <color theme="1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2B2B2"/>
        <bgColor rgb="FFB2B2B2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49" fontId="1" fillId="4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  <xf numFmtId="49" fontId="1" fillId="8" borderId="0" xfId="0" applyNumberFormat="1" applyFont="1" applyFill="1" applyAlignment="1">
      <alignment horizontal="left"/>
    </xf>
    <xf numFmtId="49" fontId="1" fillId="8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0" fontId="2" fillId="9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 wrapText="1"/>
    </xf>
    <xf numFmtId="49" fontId="1" fillId="9" borderId="0" xfId="0" applyNumberFormat="1" applyFont="1" applyFill="1" applyAlignment="1">
      <alignment horizontal="center" wrapText="1"/>
    </xf>
    <xf numFmtId="166" fontId="5" fillId="0" borderId="0" xfId="0" applyNumberFormat="1" applyFont="1" applyAlignment="1">
      <alignment horizontal="center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49" fontId="1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wrapText="1"/>
    </xf>
    <xf numFmtId="166" fontId="1" fillId="10" borderId="0" xfId="0" applyNumberFormat="1" applyFont="1" applyFill="1" applyAlignment="1">
      <alignment horizontal="center" wrapText="1"/>
    </xf>
    <xf numFmtId="49" fontId="1" fillId="10" borderId="0" xfId="0" applyNumberFormat="1" applyFont="1" applyFill="1" applyAlignment="1">
      <alignment horizontal="center" wrapText="1"/>
    </xf>
    <xf numFmtId="0" fontId="0" fillId="10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49" fontId="1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 wrapText="1"/>
    </xf>
    <xf numFmtId="49" fontId="1" fillId="11" borderId="0" xfId="0" applyNumberFormat="1" applyFont="1" applyFill="1" applyAlignment="1">
      <alignment horizontal="center" wrapText="1"/>
    </xf>
    <xf numFmtId="49" fontId="1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 wrapText="1"/>
    </xf>
    <xf numFmtId="166" fontId="1" fillId="12" borderId="0" xfId="0" applyNumberFormat="1" applyFont="1" applyFill="1" applyAlignment="1">
      <alignment horizontal="center" wrapText="1"/>
    </xf>
    <xf numFmtId="49" fontId="1" fillId="12" borderId="0" xfId="0" applyNumberFormat="1" applyFont="1" applyFill="1" applyAlignment="1">
      <alignment horizontal="center" wrapText="1"/>
    </xf>
    <xf numFmtId="0" fontId="0" fillId="12" borderId="0" xfId="0" applyFill="1"/>
    <xf numFmtId="0" fontId="2" fillId="13" borderId="0" xfId="0" applyFont="1" applyFill="1" applyAlignment="1">
      <alignment horizontal="center" wrapText="1"/>
    </xf>
    <xf numFmtId="49" fontId="1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 wrapText="1"/>
    </xf>
    <xf numFmtId="49" fontId="1" fillId="1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2"/>
  <sheetViews>
    <sheetView tabSelected="1" workbookViewId="0">
      <pane ySplit="1" topLeftCell="E2" activePane="bottomLeft" state="frozen"/>
      <selection pane="bottomLeft" activeCell="R1" sqref="R1"/>
    </sheetView>
  </sheetViews>
  <sheetFormatPr defaultColWidth="26.28515625" defaultRowHeight="15" customHeight="1"/>
  <cols>
    <col min="1" max="3" width="0" hidden="1" customWidth="1"/>
    <col min="5" max="5" width="26.28515625" customWidth="1"/>
    <col min="7" max="7" width="0" hidden="1" customWidth="1"/>
    <col min="9" max="10" width="5.140625" customWidth="1"/>
    <col min="11" max="11" width="13.28515625" customWidth="1"/>
    <col min="12" max="12" width="5.42578125" customWidth="1"/>
    <col min="13" max="13" width="32.7109375" customWidth="1"/>
    <col min="14" max="14" width="9.42578125" customWidth="1"/>
    <col min="15" max="15" width="25.28515625" customWidth="1"/>
    <col min="16" max="16" width="28.28515625" customWidth="1"/>
    <col min="17" max="17" width="39.28515625" customWidth="1"/>
    <col min="18" max="18" width="10.5703125" customWidth="1"/>
    <col min="19" max="19" width="8.7109375" customWidth="1"/>
    <col min="20" max="20" width="38.7109375" customWidth="1"/>
    <col min="21" max="21" width="7.42578125" customWidth="1"/>
    <col min="22" max="22" width="7.5703125" customWidth="1"/>
    <col min="23" max="23" width="11" customWidth="1"/>
    <col min="24" max="24" width="13.140625" customWidth="1"/>
    <col min="25" max="25" width="12.7109375" customWidth="1"/>
    <col min="26" max="26" width="9.7109375" customWidth="1"/>
    <col min="27" max="27" width="9.140625" customWidth="1"/>
    <col min="28" max="28" width="9.5703125" customWidth="1"/>
    <col min="29" max="29" width="10" customWidth="1"/>
    <col min="30" max="30" width="10.28515625" customWidth="1"/>
  </cols>
  <sheetData>
    <row r="1" spans="1:3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3" t="s">
        <v>8</v>
      </c>
      <c r="J1" s="23" t="s">
        <v>9</v>
      </c>
      <c r="K1" s="1" t="s">
        <v>10</v>
      </c>
      <c r="L1" s="1" t="s">
        <v>2</v>
      </c>
      <c r="M1" s="24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</row>
    <row r="2" spans="1:30" ht="12.75" customHeight="1">
      <c r="A2" s="2" t="s">
        <v>29</v>
      </c>
      <c r="B2" s="7" t="s">
        <v>30</v>
      </c>
      <c r="C2" s="7" t="s">
        <v>30</v>
      </c>
      <c r="D2" s="3" t="s">
        <v>31</v>
      </c>
      <c r="E2" s="7" t="s">
        <v>30</v>
      </c>
      <c r="F2" s="4" t="s">
        <v>32</v>
      </c>
      <c r="G2" s="7"/>
      <c r="H2" s="3" t="s">
        <v>33</v>
      </c>
      <c r="I2" s="5">
        <v>80</v>
      </c>
      <c r="J2" s="5">
        <v>160</v>
      </c>
      <c r="K2" s="4" t="s">
        <v>34</v>
      </c>
      <c r="L2" s="7" t="s">
        <v>30</v>
      </c>
      <c r="M2" s="6" t="s">
        <v>35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2.75" customHeight="1">
      <c r="A3" s="7" t="s">
        <v>29</v>
      </c>
      <c r="B3" s="7" t="s">
        <v>36</v>
      </c>
      <c r="C3" s="7" t="s">
        <v>36</v>
      </c>
      <c r="D3" s="3" t="s">
        <v>31</v>
      </c>
      <c r="E3" s="7" t="s">
        <v>36</v>
      </c>
      <c r="F3" s="4" t="s">
        <v>32</v>
      </c>
      <c r="G3" s="7"/>
      <c r="H3" s="3" t="s">
        <v>33</v>
      </c>
      <c r="I3" s="5">
        <v>80</v>
      </c>
      <c r="J3" s="5">
        <v>160</v>
      </c>
      <c r="K3" s="4" t="s">
        <v>34</v>
      </c>
      <c r="L3" s="7" t="s">
        <v>36</v>
      </c>
      <c r="M3" s="6" t="s">
        <v>37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2.75" customHeight="1">
      <c r="A4" s="7" t="s">
        <v>29</v>
      </c>
      <c r="B4" s="7" t="s">
        <v>38</v>
      </c>
      <c r="C4" s="7" t="s">
        <v>38</v>
      </c>
      <c r="D4" s="3" t="s">
        <v>39</v>
      </c>
      <c r="E4" s="7" t="s">
        <v>38</v>
      </c>
      <c r="F4" s="4" t="s">
        <v>40</v>
      </c>
      <c r="G4" s="7"/>
      <c r="H4" s="3" t="s">
        <v>41</v>
      </c>
      <c r="I4" s="5">
        <v>56</v>
      </c>
      <c r="J4" s="5">
        <v>160</v>
      </c>
      <c r="K4" s="3" t="s">
        <v>34</v>
      </c>
      <c r="L4" s="7" t="s">
        <v>38</v>
      </c>
      <c r="M4" s="7" t="s">
        <v>42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2.75" customHeight="1">
      <c r="A5" s="7" t="s">
        <v>29</v>
      </c>
      <c r="B5" s="7" t="s">
        <v>43</v>
      </c>
      <c r="C5" s="7" t="s">
        <v>43</v>
      </c>
      <c r="D5" s="3" t="s">
        <v>39</v>
      </c>
      <c r="E5" s="7" t="s">
        <v>43</v>
      </c>
      <c r="F5" s="4" t="s">
        <v>40</v>
      </c>
      <c r="G5" s="7"/>
      <c r="H5" s="3" t="s">
        <v>41</v>
      </c>
      <c r="I5" s="5">
        <v>80</v>
      </c>
      <c r="J5" s="5">
        <v>88</v>
      </c>
      <c r="K5" s="3" t="s">
        <v>34</v>
      </c>
      <c r="L5" s="7" t="s">
        <v>43</v>
      </c>
      <c r="M5" s="7" t="s">
        <v>44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2.75" customHeight="1">
      <c r="A6" s="7" t="s">
        <v>29</v>
      </c>
      <c r="B6" s="7" t="s">
        <v>45</v>
      </c>
      <c r="C6" s="7" t="s">
        <v>45</v>
      </c>
      <c r="D6" s="3" t="s">
        <v>39</v>
      </c>
      <c r="E6" s="7" t="s">
        <v>45</v>
      </c>
      <c r="F6" s="4" t="s">
        <v>40</v>
      </c>
      <c r="G6" s="7"/>
      <c r="H6" s="3" t="s">
        <v>41</v>
      </c>
      <c r="I6" s="5">
        <v>56</v>
      </c>
      <c r="J6" s="5">
        <v>160</v>
      </c>
      <c r="K6" s="3" t="s">
        <v>34</v>
      </c>
      <c r="L6" s="7" t="s">
        <v>45</v>
      </c>
      <c r="M6" s="7" t="s">
        <v>46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2.75" customHeight="1">
      <c r="A7" s="7" t="s">
        <v>29</v>
      </c>
      <c r="B7" s="7" t="s">
        <v>47</v>
      </c>
      <c r="C7" s="7" t="s">
        <v>47</v>
      </c>
      <c r="D7" s="3" t="s">
        <v>39</v>
      </c>
      <c r="E7" s="7" t="s">
        <v>47</v>
      </c>
      <c r="F7" s="4" t="s">
        <v>40</v>
      </c>
      <c r="G7" s="7"/>
      <c r="H7" s="3" t="s">
        <v>41</v>
      </c>
      <c r="I7" s="5">
        <v>56</v>
      </c>
      <c r="J7" s="5">
        <v>160</v>
      </c>
      <c r="K7" s="3" t="s">
        <v>34</v>
      </c>
      <c r="L7" s="7" t="s">
        <v>47</v>
      </c>
      <c r="M7" s="7" t="s">
        <v>48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2.75" customHeight="1">
      <c r="A8" s="7" t="s">
        <v>29</v>
      </c>
      <c r="B8" s="7" t="s">
        <v>49</v>
      </c>
      <c r="C8" s="7" t="s">
        <v>49</v>
      </c>
      <c r="D8" s="3" t="s">
        <v>39</v>
      </c>
      <c r="E8" s="7" t="s">
        <v>49</v>
      </c>
      <c r="F8" s="8" t="s">
        <v>50</v>
      </c>
      <c r="G8" s="7"/>
      <c r="H8" s="3" t="s">
        <v>51</v>
      </c>
      <c r="I8" s="4"/>
      <c r="J8" s="4"/>
      <c r="K8" s="3" t="s">
        <v>52</v>
      </c>
      <c r="L8" s="7" t="s">
        <v>49</v>
      </c>
      <c r="M8" s="6" t="s">
        <v>35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2.75" customHeight="1">
      <c r="A9" s="7" t="s">
        <v>29</v>
      </c>
      <c r="B9" s="7" t="s">
        <v>53</v>
      </c>
      <c r="C9" s="7" t="s">
        <v>53</v>
      </c>
      <c r="D9" s="3" t="s">
        <v>39</v>
      </c>
      <c r="E9" s="7" t="s">
        <v>53</v>
      </c>
      <c r="F9" s="8" t="s">
        <v>50</v>
      </c>
      <c r="G9" s="7"/>
      <c r="H9" s="3" t="s">
        <v>51</v>
      </c>
      <c r="I9" s="4"/>
      <c r="J9" s="4"/>
      <c r="K9" s="3" t="s">
        <v>52</v>
      </c>
      <c r="L9" s="7" t="s">
        <v>53</v>
      </c>
      <c r="M9" s="6" t="s">
        <v>37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2.75" customHeight="1">
      <c r="A10" s="2" t="s">
        <v>29</v>
      </c>
      <c r="B10" s="7" t="s">
        <v>54</v>
      </c>
      <c r="C10" s="7" t="s">
        <v>54</v>
      </c>
      <c r="D10" s="3" t="s">
        <v>39</v>
      </c>
      <c r="E10" s="7" t="s">
        <v>54</v>
      </c>
      <c r="F10" s="8" t="s">
        <v>50</v>
      </c>
      <c r="G10" s="7"/>
      <c r="H10" s="3" t="s">
        <v>51</v>
      </c>
      <c r="I10" s="4"/>
      <c r="J10" s="4"/>
      <c r="K10" s="3" t="s">
        <v>52</v>
      </c>
      <c r="L10" s="7" t="s">
        <v>54</v>
      </c>
      <c r="M10" s="6" t="s">
        <v>37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2.75" customHeight="1">
      <c r="A11" s="7" t="s">
        <v>29</v>
      </c>
      <c r="B11" s="7" t="s">
        <v>55</v>
      </c>
      <c r="C11" s="7" t="s">
        <v>55</v>
      </c>
      <c r="D11" s="3" t="s">
        <v>39</v>
      </c>
      <c r="E11" s="7" t="s">
        <v>55</v>
      </c>
      <c r="F11" s="3" t="s">
        <v>40</v>
      </c>
      <c r="G11" s="7"/>
      <c r="H11" s="3" t="s">
        <v>56</v>
      </c>
      <c r="I11" s="5">
        <v>72</v>
      </c>
      <c r="J11" s="5">
        <v>240</v>
      </c>
      <c r="K11" s="3" t="s">
        <v>34</v>
      </c>
      <c r="L11" s="7" t="s">
        <v>55</v>
      </c>
      <c r="M11" s="6" t="s">
        <v>57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2.75" customHeight="1">
      <c r="A12" s="7" t="s">
        <v>29</v>
      </c>
      <c r="B12" s="7" t="s">
        <v>58</v>
      </c>
      <c r="C12" s="7" t="s">
        <v>58</v>
      </c>
      <c r="D12" s="3" t="s">
        <v>39</v>
      </c>
      <c r="E12" s="7" t="s">
        <v>58</v>
      </c>
      <c r="F12" s="3" t="s">
        <v>40</v>
      </c>
      <c r="G12" s="7"/>
      <c r="H12" s="3" t="s">
        <v>56</v>
      </c>
      <c r="I12" s="5">
        <v>72</v>
      </c>
      <c r="J12" s="5">
        <v>240</v>
      </c>
      <c r="K12" s="3" t="s">
        <v>34</v>
      </c>
      <c r="L12" s="7" t="s">
        <v>58</v>
      </c>
      <c r="M12" s="7" t="s">
        <v>59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2.75" customHeight="1">
      <c r="A13" s="7" t="s">
        <v>29</v>
      </c>
      <c r="B13" s="7" t="s">
        <v>60</v>
      </c>
      <c r="C13" s="7" t="s">
        <v>60</v>
      </c>
      <c r="D13" s="3" t="s">
        <v>39</v>
      </c>
      <c r="E13" s="7" t="s">
        <v>60</v>
      </c>
      <c r="F13" s="3" t="s">
        <v>40</v>
      </c>
      <c r="G13" s="7"/>
      <c r="H13" s="3" t="s">
        <v>56</v>
      </c>
      <c r="I13" s="5">
        <v>72</v>
      </c>
      <c r="J13" s="5">
        <v>240</v>
      </c>
      <c r="K13" s="3" t="s">
        <v>34</v>
      </c>
      <c r="L13" s="7" t="s">
        <v>60</v>
      </c>
      <c r="M13" s="7" t="s">
        <v>61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2.75" customHeight="1">
      <c r="A14" s="7" t="s">
        <v>29</v>
      </c>
      <c r="B14" s="7" t="s">
        <v>62</v>
      </c>
      <c r="C14" s="7" t="s">
        <v>62</v>
      </c>
      <c r="D14" s="3" t="s">
        <v>39</v>
      </c>
      <c r="E14" s="7" t="s">
        <v>62</v>
      </c>
      <c r="F14" s="3" t="s">
        <v>40</v>
      </c>
      <c r="G14" s="7"/>
      <c r="H14" s="3" t="s">
        <v>56</v>
      </c>
      <c r="I14" s="5">
        <v>72</v>
      </c>
      <c r="J14" s="5">
        <v>240</v>
      </c>
      <c r="K14" s="3" t="s">
        <v>34</v>
      </c>
      <c r="L14" s="7" t="s">
        <v>62</v>
      </c>
      <c r="M14" s="6" t="s">
        <v>37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2.75" customHeight="1">
      <c r="A15" s="7" t="s">
        <v>29</v>
      </c>
      <c r="B15" s="7" t="s">
        <v>63</v>
      </c>
      <c r="C15" s="7" t="s">
        <v>63</v>
      </c>
      <c r="D15" s="3" t="s">
        <v>39</v>
      </c>
      <c r="E15" s="7" t="s">
        <v>63</v>
      </c>
      <c r="F15" s="3" t="s">
        <v>40</v>
      </c>
      <c r="G15" s="7"/>
      <c r="H15" s="3" t="s">
        <v>56</v>
      </c>
      <c r="I15" s="5">
        <v>72</v>
      </c>
      <c r="J15" s="5">
        <v>240</v>
      </c>
      <c r="K15" s="3" t="s">
        <v>34</v>
      </c>
      <c r="L15" s="7" t="s">
        <v>63</v>
      </c>
      <c r="M15" s="7" t="s">
        <v>64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2.75" customHeight="1">
      <c r="A16" s="7" t="s">
        <v>29</v>
      </c>
      <c r="B16" s="7" t="s">
        <v>65</v>
      </c>
      <c r="C16" s="7" t="s">
        <v>65</v>
      </c>
      <c r="D16" s="3" t="s">
        <v>39</v>
      </c>
      <c r="E16" s="7" t="s">
        <v>65</v>
      </c>
      <c r="F16" s="3" t="s">
        <v>40</v>
      </c>
      <c r="G16" s="7"/>
      <c r="H16" s="3" t="s">
        <v>56</v>
      </c>
      <c r="I16" s="5">
        <v>72</v>
      </c>
      <c r="J16" s="5">
        <v>240</v>
      </c>
      <c r="K16" s="3" t="s">
        <v>34</v>
      </c>
      <c r="L16" s="7" t="s">
        <v>65</v>
      </c>
      <c r="M16" s="7" t="s">
        <v>66</v>
      </c>
      <c r="N16" s="7"/>
      <c r="O16" s="7"/>
      <c r="P16" s="9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2.75" customHeight="1">
      <c r="A17" s="7" t="s">
        <v>29</v>
      </c>
      <c r="B17" s="7" t="s">
        <v>67</v>
      </c>
      <c r="C17" s="7" t="s">
        <v>67</v>
      </c>
      <c r="D17" s="3" t="s">
        <v>39</v>
      </c>
      <c r="E17" s="7" t="s">
        <v>67</v>
      </c>
      <c r="F17" s="3" t="s">
        <v>40</v>
      </c>
      <c r="G17" s="7"/>
      <c r="H17" s="3" t="s">
        <v>56</v>
      </c>
      <c r="I17" s="5">
        <v>72</v>
      </c>
      <c r="J17" s="5">
        <v>240</v>
      </c>
      <c r="K17" s="3" t="s">
        <v>34</v>
      </c>
      <c r="L17" s="7" t="s">
        <v>67</v>
      </c>
      <c r="M17" s="6" t="s">
        <v>35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2.75" customHeight="1">
      <c r="A18" s="2" t="s">
        <v>29</v>
      </c>
      <c r="B18" s="7" t="s">
        <v>68</v>
      </c>
      <c r="C18" s="7" t="s">
        <v>68</v>
      </c>
      <c r="D18" s="4" t="s">
        <v>69</v>
      </c>
      <c r="E18" s="7" t="s">
        <v>68</v>
      </c>
      <c r="F18" s="4" t="s">
        <v>70</v>
      </c>
      <c r="G18" s="7"/>
      <c r="H18" s="4" t="s">
        <v>71</v>
      </c>
      <c r="I18" s="5">
        <v>16</v>
      </c>
      <c r="J18" s="5">
        <v>56</v>
      </c>
      <c r="K18" s="4" t="s">
        <v>34</v>
      </c>
      <c r="L18" s="7" t="s">
        <v>68</v>
      </c>
      <c r="M18" s="6" t="s">
        <v>35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2.75" customHeight="1">
      <c r="A19" s="7" t="s">
        <v>29</v>
      </c>
      <c r="B19" s="7" t="s">
        <v>72</v>
      </c>
      <c r="C19" s="7" t="s">
        <v>72</v>
      </c>
      <c r="D19" s="4" t="s">
        <v>69</v>
      </c>
      <c r="E19" s="7" t="s">
        <v>72</v>
      </c>
      <c r="F19" s="4" t="s">
        <v>70</v>
      </c>
      <c r="G19" s="7"/>
      <c r="H19" s="4" t="s">
        <v>71</v>
      </c>
      <c r="I19" s="5">
        <v>16</v>
      </c>
      <c r="J19" s="5">
        <v>56</v>
      </c>
      <c r="K19" s="4" t="s">
        <v>34</v>
      </c>
      <c r="L19" s="7" t="s">
        <v>72</v>
      </c>
      <c r="M19" s="6" t="s">
        <v>57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2.75" customHeight="1">
      <c r="A20" s="7" t="s">
        <v>29</v>
      </c>
      <c r="B20" s="7" t="s">
        <v>73</v>
      </c>
      <c r="C20" s="7" t="s">
        <v>73</v>
      </c>
      <c r="D20" s="4" t="s">
        <v>69</v>
      </c>
      <c r="E20" s="7" t="s">
        <v>73</v>
      </c>
      <c r="F20" s="4" t="s">
        <v>70</v>
      </c>
      <c r="G20" s="7"/>
      <c r="H20" s="4" t="s">
        <v>71</v>
      </c>
      <c r="I20" s="5">
        <v>16</v>
      </c>
      <c r="J20" s="5">
        <v>56</v>
      </c>
      <c r="K20" s="4" t="s">
        <v>34</v>
      </c>
      <c r="L20" s="7" t="s">
        <v>73</v>
      </c>
      <c r="M20" s="7" t="s">
        <v>74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2.75" customHeight="1">
      <c r="A21" s="7" t="s">
        <v>29</v>
      </c>
      <c r="B21" s="7" t="s">
        <v>75</v>
      </c>
      <c r="C21" s="7" t="s">
        <v>75</v>
      </c>
      <c r="D21" s="4" t="s">
        <v>76</v>
      </c>
      <c r="E21" s="7" t="s">
        <v>75</v>
      </c>
      <c r="F21" s="4" t="s">
        <v>77</v>
      </c>
      <c r="G21" s="7"/>
      <c r="H21" s="4" t="s">
        <v>78</v>
      </c>
      <c r="I21" s="5">
        <v>32</v>
      </c>
      <c r="J21" s="5">
        <v>72</v>
      </c>
      <c r="K21" s="4" t="s">
        <v>34</v>
      </c>
      <c r="L21" s="7" t="s">
        <v>75</v>
      </c>
      <c r="M21" s="7" t="s">
        <v>44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2.75" customHeight="1">
      <c r="A22" s="7" t="s">
        <v>29</v>
      </c>
      <c r="B22" s="7" t="s">
        <v>79</v>
      </c>
      <c r="C22" s="7" t="s">
        <v>79</v>
      </c>
      <c r="D22" s="4" t="s">
        <v>76</v>
      </c>
      <c r="E22" s="7" t="s">
        <v>79</v>
      </c>
      <c r="F22" s="4" t="s">
        <v>80</v>
      </c>
      <c r="G22" s="7"/>
      <c r="H22" s="4" t="s">
        <v>81</v>
      </c>
      <c r="I22" s="5">
        <v>40</v>
      </c>
      <c r="J22" s="5">
        <v>160</v>
      </c>
      <c r="K22" s="4" t="s">
        <v>34</v>
      </c>
      <c r="L22" s="7" t="s">
        <v>79</v>
      </c>
      <c r="M22" s="10" t="s">
        <v>82</v>
      </c>
      <c r="N22" s="7" t="s">
        <v>83</v>
      </c>
      <c r="O22" s="10" t="s">
        <v>84</v>
      </c>
      <c r="P22" s="10" t="s">
        <v>85</v>
      </c>
      <c r="Q22" s="10" t="s">
        <v>86</v>
      </c>
      <c r="R22" s="7" t="s">
        <v>87</v>
      </c>
      <c r="S22" s="7" t="s">
        <v>88</v>
      </c>
      <c r="T22" s="7" t="s">
        <v>89</v>
      </c>
      <c r="U22" s="7" t="s">
        <v>90</v>
      </c>
      <c r="V22" s="11" t="s">
        <v>91</v>
      </c>
      <c r="W22" s="7" t="s">
        <v>92</v>
      </c>
      <c r="X22" s="10" t="s">
        <v>93</v>
      </c>
      <c r="Y22" s="10" t="s">
        <v>94</v>
      </c>
      <c r="Z22" s="10" t="s">
        <v>95</v>
      </c>
      <c r="AA22" s="7"/>
      <c r="AB22" s="7"/>
      <c r="AC22" s="7"/>
      <c r="AD22" s="7"/>
    </row>
    <row r="23" spans="1:30" ht="12.75" customHeight="1">
      <c r="A23" s="7" t="s">
        <v>29</v>
      </c>
      <c r="B23" s="7" t="s">
        <v>96</v>
      </c>
      <c r="C23" s="7" t="s">
        <v>96</v>
      </c>
      <c r="D23" s="4" t="s">
        <v>76</v>
      </c>
      <c r="E23" s="7" t="s">
        <v>96</v>
      </c>
      <c r="F23" s="4" t="s">
        <v>80</v>
      </c>
      <c r="G23" s="7"/>
      <c r="H23" s="4" t="s">
        <v>81</v>
      </c>
      <c r="I23" s="5">
        <v>40</v>
      </c>
      <c r="J23" s="5">
        <v>160</v>
      </c>
      <c r="K23" s="4" t="s">
        <v>34</v>
      </c>
      <c r="L23" s="7" t="s">
        <v>96</v>
      </c>
      <c r="M23" s="10" t="s">
        <v>97</v>
      </c>
      <c r="N23" s="10" t="s">
        <v>98</v>
      </c>
      <c r="O23" s="11" t="s">
        <v>99</v>
      </c>
      <c r="P23" s="10" t="s">
        <v>100</v>
      </c>
      <c r="Q23" s="10" t="s">
        <v>101</v>
      </c>
      <c r="R23" s="7" t="s">
        <v>87</v>
      </c>
      <c r="S23" s="7" t="s">
        <v>88</v>
      </c>
      <c r="T23" s="7" t="s">
        <v>102</v>
      </c>
      <c r="U23" s="7" t="s">
        <v>103</v>
      </c>
      <c r="V23" s="10" t="s">
        <v>104</v>
      </c>
      <c r="W23" s="7" t="s">
        <v>105</v>
      </c>
      <c r="X23" s="10" t="s">
        <v>106</v>
      </c>
      <c r="Y23" s="10" t="s">
        <v>107</v>
      </c>
      <c r="Z23" s="10" t="s">
        <v>108</v>
      </c>
      <c r="AA23" s="7"/>
      <c r="AB23" s="7"/>
      <c r="AC23" s="7"/>
      <c r="AD23" s="7"/>
    </row>
    <row r="24" spans="1:30" ht="12.75" customHeight="1">
      <c r="A24" s="7" t="s">
        <v>29</v>
      </c>
      <c r="B24" s="7" t="s">
        <v>109</v>
      </c>
      <c r="C24" s="7" t="s">
        <v>109</v>
      </c>
      <c r="D24" s="12" t="s">
        <v>110</v>
      </c>
      <c r="E24" s="7" t="s">
        <v>109</v>
      </c>
      <c r="F24" s="4" t="s">
        <v>111</v>
      </c>
      <c r="G24" s="7"/>
      <c r="H24" s="4" t="s">
        <v>112</v>
      </c>
      <c r="I24" s="5">
        <v>16</v>
      </c>
      <c r="J24" s="5">
        <v>160</v>
      </c>
      <c r="K24" s="4" t="s">
        <v>34</v>
      </c>
      <c r="L24" s="7" t="s">
        <v>109</v>
      </c>
      <c r="M24" s="7" t="s">
        <v>113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2.75" customHeight="1">
      <c r="A25" s="7" t="s">
        <v>29</v>
      </c>
      <c r="B25" s="7" t="s">
        <v>114</v>
      </c>
      <c r="C25" s="7" t="s">
        <v>114</v>
      </c>
      <c r="D25" s="4" t="s">
        <v>115</v>
      </c>
      <c r="E25" s="7" t="s">
        <v>114</v>
      </c>
      <c r="F25" s="4" t="s">
        <v>111</v>
      </c>
      <c r="G25" s="7"/>
      <c r="H25" s="4" t="s">
        <v>116</v>
      </c>
      <c r="I25" s="25">
        <v>8</v>
      </c>
      <c r="J25" s="5">
        <v>96</v>
      </c>
      <c r="K25" s="4" t="s">
        <v>34</v>
      </c>
      <c r="L25" s="7" t="s">
        <v>114</v>
      </c>
      <c r="M25" s="6" t="s">
        <v>57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2.75" customHeight="1">
      <c r="A26" s="2" t="s">
        <v>29</v>
      </c>
      <c r="B26" s="7" t="s">
        <v>117</v>
      </c>
      <c r="C26" s="7" t="s">
        <v>117</v>
      </c>
      <c r="D26" s="4" t="s">
        <v>118</v>
      </c>
      <c r="E26" s="7" t="s">
        <v>117</v>
      </c>
      <c r="F26" s="4" t="s">
        <v>119</v>
      </c>
      <c r="G26" s="7"/>
      <c r="H26" s="4" t="s">
        <v>120</v>
      </c>
      <c r="I26" s="4"/>
      <c r="J26" s="4"/>
      <c r="K26" s="4" t="s">
        <v>34</v>
      </c>
      <c r="L26" s="7" t="s">
        <v>117</v>
      </c>
      <c r="M26" s="7" t="s">
        <v>121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2.75" customHeight="1">
      <c r="A27" s="7" t="s">
        <v>29</v>
      </c>
      <c r="B27" s="7" t="s">
        <v>122</v>
      </c>
      <c r="C27" s="7" t="s">
        <v>122</v>
      </c>
      <c r="D27" s="4" t="s">
        <v>118</v>
      </c>
      <c r="E27" s="7" t="s">
        <v>122</v>
      </c>
      <c r="F27" s="4" t="s">
        <v>119</v>
      </c>
      <c r="G27" s="7"/>
      <c r="H27" s="4" t="s">
        <v>120</v>
      </c>
      <c r="I27" s="4"/>
      <c r="J27" s="4"/>
      <c r="K27" s="4" t="s">
        <v>34</v>
      </c>
      <c r="L27" s="7" t="s">
        <v>122</v>
      </c>
      <c r="M27" s="7" t="s">
        <v>123</v>
      </c>
      <c r="N27" s="13" t="s">
        <v>124</v>
      </c>
      <c r="O27" s="14"/>
      <c r="P27" s="7" t="s">
        <v>125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2.75" customHeight="1">
      <c r="A28" s="7" t="s">
        <v>29</v>
      </c>
      <c r="B28" s="7" t="s">
        <v>126</v>
      </c>
      <c r="C28" s="7" t="s">
        <v>126</v>
      </c>
      <c r="D28" s="4" t="s">
        <v>118</v>
      </c>
      <c r="E28" s="7" t="s">
        <v>126</v>
      </c>
      <c r="F28" s="4" t="s">
        <v>119</v>
      </c>
      <c r="G28" s="7"/>
      <c r="H28" s="4" t="s">
        <v>127</v>
      </c>
      <c r="I28" s="4"/>
      <c r="J28" s="4"/>
      <c r="K28" s="4" t="s">
        <v>34</v>
      </c>
      <c r="L28" s="7" t="s">
        <v>126</v>
      </c>
      <c r="M28" s="7" t="s">
        <v>44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2.75" customHeight="1">
      <c r="A29" s="7" t="s">
        <v>29</v>
      </c>
      <c r="B29" s="7" t="s">
        <v>128</v>
      </c>
      <c r="C29" s="7" t="s">
        <v>128</v>
      </c>
      <c r="D29" s="4" t="s">
        <v>118</v>
      </c>
      <c r="E29" s="7" t="s">
        <v>128</v>
      </c>
      <c r="F29" s="4" t="s">
        <v>119</v>
      </c>
      <c r="G29" s="7"/>
      <c r="H29" s="4" t="s">
        <v>129</v>
      </c>
      <c r="I29" s="4"/>
      <c r="J29" s="4"/>
      <c r="K29" s="4" t="s">
        <v>34</v>
      </c>
      <c r="L29" s="7" t="s">
        <v>128</v>
      </c>
      <c r="M29" s="7" t="s">
        <v>130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2.75" customHeight="1">
      <c r="A30" s="7" t="s">
        <v>29</v>
      </c>
      <c r="B30" s="7" t="s">
        <v>131</v>
      </c>
      <c r="C30" s="7" t="s">
        <v>131</v>
      </c>
      <c r="D30" s="4" t="s">
        <v>118</v>
      </c>
      <c r="E30" s="7" t="s">
        <v>131</v>
      </c>
      <c r="F30" s="4" t="s">
        <v>119</v>
      </c>
      <c r="G30" s="7"/>
      <c r="H30" s="4" t="s">
        <v>132</v>
      </c>
      <c r="I30" s="4"/>
      <c r="J30" s="4"/>
      <c r="K30" s="4" t="s">
        <v>34</v>
      </c>
      <c r="L30" s="7" t="s">
        <v>131</v>
      </c>
      <c r="M30" s="7" t="s">
        <v>133</v>
      </c>
      <c r="N30" s="13" t="s">
        <v>124</v>
      </c>
      <c r="O30" s="14"/>
      <c r="P30" s="7" t="s">
        <v>134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2.75" customHeight="1">
      <c r="A31" s="7" t="s">
        <v>29</v>
      </c>
      <c r="B31" s="7" t="s">
        <v>135</v>
      </c>
      <c r="C31" s="7" t="s">
        <v>135</v>
      </c>
      <c r="D31" s="4" t="s">
        <v>118</v>
      </c>
      <c r="E31" s="7" t="s">
        <v>135</v>
      </c>
      <c r="F31" s="4" t="s">
        <v>119</v>
      </c>
      <c r="G31" s="7"/>
      <c r="H31" s="4" t="s">
        <v>132</v>
      </c>
      <c r="I31" s="4"/>
      <c r="J31" s="4"/>
      <c r="K31" s="4" t="s">
        <v>34</v>
      </c>
      <c r="L31" s="7" t="s">
        <v>135</v>
      </c>
      <c r="M31" s="7" t="s">
        <v>136</v>
      </c>
      <c r="N31" s="13" t="s">
        <v>124</v>
      </c>
      <c r="O31" s="14"/>
      <c r="P31" s="7" t="s">
        <v>137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2.75" customHeight="1">
      <c r="A32" s="7" t="s">
        <v>29</v>
      </c>
      <c r="B32" s="7" t="s">
        <v>138</v>
      </c>
      <c r="C32" s="7" t="s">
        <v>138</v>
      </c>
      <c r="D32" s="4" t="s">
        <v>118</v>
      </c>
      <c r="E32" s="7" t="s">
        <v>138</v>
      </c>
      <c r="F32" s="4" t="s">
        <v>119</v>
      </c>
      <c r="G32" s="7"/>
      <c r="H32" s="4" t="s">
        <v>139</v>
      </c>
      <c r="I32" s="4"/>
      <c r="J32" s="4"/>
      <c r="K32" s="4" t="s">
        <v>34</v>
      </c>
      <c r="L32" s="7" t="s">
        <v>138</v>
      </c>
      <c r="M32" s="7" t="s">
        <v>140</v>
      </c>
      <c r="N32" s="13" t="s">
        <v>124</v>
      </c>
      <c r="O32" s="14"/>
      <c r="P32" s="7" t="s">
        <v>141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2.75" customHeight="1">
      <c r="A33" s="7" t="s">
        <v>29</v>
      </c>
      <c r="B33" s="7" t="s">
        <v>142</v>
      </c>
      <c r="C33" s="7" t="s">
        <v>142</v>
      </c>
      <c r="D33" s="4" t="s">
        <v>118</v>
      </c>
      <c r="E33" s="7" t="s">
        <v>142</v>
      </c>
      <c r="F33" s="4" t="s">
        <v>119</v>
      </c>
      <c r="G33" s="7"/>
      <c r="H33" s="4" t="s">
        <v>143</v>
      </c>
      <c r="I33" s="4"/>
      <c r="J33" s="4"/>
      <c r="K33" s="4" t="s">
        <v>34</v>
      </c>
      <c r="L33" s="7" t="s">
        <v>142</v>
      </c>
      <c r="M33" s="7" t="s">
        <v>144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2.75" customHeight="1">
      <c r="A34" s="2" t="s">
        <v>29</v>
      </c>
      <c r="B34" s="7" t="s">
        <v>145</v>
      </c>
      <c r="C34" s="7" t="s">
        <v>145</v>
      </c>
      <c r="D34" s="4" t="s">
        <v>146</v>
      </c>
      <c r="E34" s="7" t="s">
        <v>145</v>
      </c>
      <c r="F34" s="4" t="s">
        <v>147</v>
      </c>
      <c r="G34" s="7"/>
      <c r="H34" s="4" t="s">
        <v>148</v>
      </c>
      <c r="I34" s="4"/>
      <c r="J34" s="4"/>
      <c r="K34" s="4" t="s">
        <v>149</v>
      </c>
      <c r="L34" s="7" t="s">
        <v>145</v>
      </c>
      <c r="M34" s="6" t="s">
        <v>150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2.75" customHeight="1">
      <c r="A35" s="7" t="s">
        <v>29</v>
      </c>
      <c r="B35" s="7" t="s">
        <v>151</v>
      </c>
      <c r="C35" s="7" t="s">
        <v>151</v>
      </c>
      <c r="D35" s="4" t="s">
        <v>146</v>
      </c>
      <c r="E35" s="7" t="s">
        <v>151</v>
      </c>
      <c r="F35" s="4" t="s">
        <v>147</v>
      </c>
      <c r="G35" s="7"/>
      <c r="H35" s="4" t="s">
        <v>148</v>
      </c>
      <c r="I35" s="4"/>
      <c r="J35" s="4"/>
      <c r="K35" s="4" t="s">
        <v>149</v>
      </c>
      <c r="L35" s="7" t="s">
        <v>151</v>
      </c>
      <c r="M35" s="6" t="s">
        <v>152</v>
      </c>
      <c r="N35" s="15" t="s">
        <v>153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2.75" customHeight="1">
      <c r="A36" s="7" t="s">
        <v>29</v>
      </c>
      <c r="B36" s="7" t="s">
        <v>154</v>
      </c>
      <c r="C36" s="7" t="s">
        <v>154</v>
      </c>
      <c r="D36" s="4" t="s">
        <v>146</v>
      </c>
      <c r="E36" s="7" t="s">
        <v>154</v>
      </c>
      <c r="F36" s="4" t="s">
        <v>147</v>
      </c>
      <c r="G36" s="7"/>
      <c r="H36" s="4" t="s">
        <v>148</v>
      </c>
      <c r="I36" s="4"/>
      <c r="J36" s="4"/>
      <c r="K36" s="4" t="s">
        <v>149</v>
      </c>
      <c r="L36" s="7" t="s">
        <v>154</v>
      </c>
      <c r="M36" s="7" t="s">
        <v>155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2.75" customHeight="1">
      <c r="A37" s="7" t="s">
        <v>29</v>
      </c>
      <c r="B37" s="7" t="s">
        <v>156</v>
      </c>
      <c r="C37" s="7" t="s">
        <v>156</v>
      </c>
      <c r="D37" s="4" t="s">
        <v>157</v>
      </c>
      <c r="E37" s="7" t="s">
        <v>156</v>
      </c>
      <c r="F37" s="4" t="s">
        <v>158</v>
      </c>
      <c r="G37" s="7"/>
      <c r="H37" s="4" t="s">
        <v>159</v>
      </c>
      <c r="I37" s="4"/>
      <c r="J37" s="4"/>
      <c r="K37" s="4" t="s">
        <v>149</v>
      </c>
      <c r="L37" s="7" t="s">
        <v>156</v>
      </c>
      <c r="M37" s="7" t="s">
        <v>160</v>
      </c>
      <c r="N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2.75" customHeight="1">
      <c r="A38" s="7" t="s">
        <v>29</v>
      </c>
      <c r="B38" s="7" t="s">
        <v>161</v>
      </c>
      <c r="C38" s="7" t="s">
        <v>161</v>
      </c>
      <c r="D38" s="4" t="s">
        <v>157</v>
      </c>
      <c r="E38" s="7" t="s">
        <v>161</v>
      </c>
      <c r="F38" s="4" t="s">
        <v>158</v>
      </c>
      <c r="G38" s="7"/>
      <c r="H38" s="4" t="s">
        <v>159</v>
      </c>
      <c r="I38" s="4"/>
      <c r="J38" s="4"/>
      <c r="K38" s="4" t="s">
        <v>149</v>
      </c>
      <c r="L38" s="7" t="s">
        <v>161</v>
      </c>
      <c r="M38" s="7" t="s">
        <v>162</v>
      </c>
      <c r="N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2.75" customHeight="1">
      <c r="A39" s="7"/>
      <c r="B39" s="7"/>
      <c r="C39" s="7"/>
      <c r="D39" s="4"/>
      <c r="E39" s="7" t="s">
        <v>161</v>
      </c>
      <c r="F39" s="4"/>
      <c r="G39" s="7"/>
      <c r="H39" s="4"/>
      <c r="I39" s="4"/>
      <c r="J39" s="4"/>
      <c r="K39" s="4"/>
      <c r="L39" s="7"/>
      <c r="M39" s="16" t="s">
        <v>163</v>
      </c>
      <c r="N39" s="7" t="s">
        <v>83</v>
      </c>
      <c r="O39" s="17">
        <v>0.56859999999999999</v>
      </c>
      <c r="P39" s="7" t="s">
        <v>164</v>
      </c>
      <c r="Q39" s="7" t="s">
        <v>165</v>
      </c>
      <c r="R39" s="7" t="s">
        <v>166</v>
      </c>
      <c r="S39" s="7" t="s">
        <v>167</v>
      </c>
      <c r="T39" s="7" t="s">
        <v>168</v>
      </c>
      <c r="U39" s="7" t="s">
        <v>169</v>
      </c>
      <c r="V39" s="7" t="s">
        <v>170</v>
      </c>
      <c r="W39" s="7" t="s">
        <v>171</v>
      </c>
      <c r="X39" s="7" t="s">
        <v>172</v>
      </c>
      <c r="Y39" s="7" t="s">
        <v>173</v>
      </c>
      <c r="Z39" s="7" t="s">
        <v>174</v>
      </c>
      <c r="AA39" s="7" t="s">
        <v>175</v>
      </c>
      <c r="AB39" s="7"/>
      <c r="AC39" s="7"/>
      <c r="AD39" s="7"/>
    </row>
    <row r="40" spans="1:30" ht="12.75" customHeight="1">
      <c r="A40" s="7"/>
      <c r="B40" s="7"/>
      <c r="C40" s="7"/>
      <c r="D40" s="4"/>
      <c r="E40" s="7"/>
      <c r="F40" s="4"/>
      <c r="G40" s="7"/>
      <c r="H40" s="4"/>
      <c r="I40" s="4"/>
      <c r="J40" s="4"/>
      <c r="K40" s="4"/>
      <c r="L40" s="7"/>
      <c r="M40" s="16" t="s">
        <v>176</v>
      </c>
      <c r="N40" s="7" t="s">
        <v>83</v>
      </c>
      <c r="O40" s="17">
        <v>0.56859999999999999</v>
      </c>
      <c r="P40" s="7" t="s">
        <v>177</v>
      </c>
      <c r="Q40" s="7" t="s">
        <v>178</v>
      </c>
      <c r="R40" s="18" t="s">
        <v>179</v>
      </c>
      <c r="S40" s="7" t="s">
        <v>88</v>
      </c>
      <c r="T40" s="7" t="s">
        <v>180</v>
      </c>
      <c r="U40" s="7" t="s">
        <v>181</v>
      </c>
      <c r="V40" s="7" t="s">
        <v>182</v>
      </c>
      <c r="W40" s="7" t="s">
        <v>183</v>
      </c>
      <c r="X40" s="7" t="s">
        <v>172</v>
      </c>
      <c r="Y40" s="7" t="s">
        <v>184</v>
      </c>
      <c r="Z40" s="7" t="s">
        <v>185</v>
      </c>
      <c r="AA40" s="7" t="s">
        <v>186</v>
      </c>
      <c r="AB40" s="7"/>
      <c r="AC40" s="7"/>
      <c r="AD40" s="7"/>
    </row>
    <row r="41" spans="1:30" ht="35.25">
      <c r="A41" s="7"/>
      <c r="B41" s="7"/>
      <c r="C41" s="7"/>
      <c r="D41" s="4" t="s">
        <v>157</v>
      </c>
      <c r="E41" s="7" t="s">
        <v>161</v>
      </c>
      <c r="F41" s="4"/>
      <c r="G41" s="7"/>
      <c r="H41" s="4"/>
      <c r="I41" s="4"/>
      <c r="J41" s="4"/>
      <c r="K41" s="41"/>
      <c r="L41" s="42"/>
      <c r="M41" s="41" t="s">
        <v>187</v>
      </c>
      <c r="N41" s="42" t="s">
        <v>83</v>
      </c>
      <c r="O41" s="43" t="s">
        <v>188</v>
      </c>
      <c r="P41" s="44" t="s">
        <v>189</v>
      </c>
      <c r="Q41" s="44" t="s">
        <v>190</v>
      </c>
      <c r="R41" s="44" t="s">
        <v>191</v>
      </c>
      <c r="S41" s="42" t="s">
        <v>88</v>
      </c>
      <c r="T41" s="42" t="s">
        <v>192</v>
      </c>
      <c r="U41" s="42" t="s">
        <v>193</v>
      </c>
      <c r="V41" s="42" t="s">
        <v>194</v>
      </c>
      <c r="W41" s="42" t="s">
        <v>195</v>
      </c>
      <c r="X41" s="42" t="s">
        <v>196</v>
      </c>
      <c r="Y41" s="42" t="s">
        <v>197</v>
      </c>
      <c r="Z41" s="42" t="s">
        <v>198</v>
      </c>
      <c r="AA41" s="42" t="s">
        <v>199</v>
      </c>
      <c r="AB41" s="42"/>
      <c r="AC41" s="7"/>
      <c r="AD41" s="7"/>
    </row>
    <row r="42" spans="1:30" ht="39" customHeight="1">
      <c r="A42" s="7"/>
      <c r="B42" s="7"/>
      <c r="C42" s="7"/>
      <c r="D42" s="4"/>
      <c r="E42" s="7"/>
      <c r="F42" s="4"/>
      <c r="G42" s="7"/>
      <c r="H42" s="4"/>
      <c r="I42" s="4"/>
      <c r="J42" s="4"/>
      <c r="K42" s="4"/>
      <c r="L42" s="7"/>
      <c r="M42" s="16" t="s">
        <v>200</v>
      </c>
      <c r="N42" s="33" t="s">
        <v>83</v>
      </c>
      <c r="O42" s="34" t="s">
        <v>201</v>
      </c>
      <c r="P42" s="35" t="s">
        <v>202</v>
      </c>
      <c r="Q42" s="35" t="s">
        <v>203</v>
      </c>
      <c r="R42" s="35" t="s">
        <v>191</v>
      </c>
      <c r="S42" s="33" t="s">
        <v>88</v>
      </c>
      <c r="T42" s="33" t="s">
        <v>204</v>
      </c>
      <c r="U42" s="33" t="s">
        <v>205</v>
      </c>
      <c r="V42" s="33" t="s">
        <v>206</v>
      </c>
      <c r="W42" s="33" t="s">
        <v>207</v>
      </c>
      <c r="X42" s="33" t="s">
        <v>196</v>
      </c>
      <c r="Y42" s="33" t="s">
        <v>107</v>
      </c>
      <c r="Z42" s="33" t="s">
        <v>208</v>
      </c>
      <c r="AA42" s="7" t="s">
        <v>209</v>
      </c>
      <c r="AB42" s="7" t="s">
        <v>210</v>
      </c>
      <c r="AC42" s="7" t="s">
        <v>210</v>
      </c>
      <c r="AD42" s="7" t="s">
        <v>211</v>
      </c>
    </row>
    <row r="43" spans="1:30" ht="35.25">
      <c r="A43" s="7"/>
      <c r="B43" s="7"/>
      <c r="C43" s="7"/>
      <c r="D43" s="4"/>
      <c r="E43" s="7"/>
      <c r="F43" s="4"/>
      <c r="G43" s="7"/>
      <c r="H43" s="4"/>
      <c r="I43" s="4"/>
      <c r="J43" s="4"/>
      <c r="K43" s="4"/>
      <c r="L43" s="7"/>
      <c r="M43" s="16" t="s">
        <v>212</v>
      </c>
      <c r="N43" s="7" t="s">
        <v>83</v>
      </c>
      <c r="O43" s="32" t="s">
        <v>213</v>
      </c>
      <c r="P43" s="18" t="s">
        <v>214</v>
      </c>
      <c r="Q43" s="18" t="s">
        <v>215</v>
      </c>
      <c r="R43" s="18" t="s">
        <v>191</v>
      </c>
      <c r="S43" s="7" t="s">
        <v>216</v>
      </c>
      <c r="T43" s="7" t="s">
        <v>217</v>
      </c>
      <c r="U43" s="7" t="s">
        <v>218</v>
      </c>
      <c r="V43" s="7" t="s">
        <v>219</v>
      </c>
      <c r="W43" s="7" t="s">
        <v>220</v>
      </c>
      <c r="X43" s="7" t="s">
        <v>172</v>
      </c>
      <c r="Y43" s="7" t="s">
        <v>221</v>
      </c>
      <c r="Z43" s="7" t="s">
        <v>222</v>
      </c>
      <c r="AA43" s="7" t="s">
        <v>223</v>
      </c>
      <c r="AB43" s="7" t="s">
        <v>224</v>
      </c>
      <c r="AC43" s="7" t="s">
        <v>224</v>
      </c>
      <c r="AD43" s="7" t="s">
        <v>225</v>
      </c>
    </row>
    <row r="44" spans="1:30" ht="35.25">
      <c r="A44" s="7"/>
      <c r="B44" s="7"/>
      <c r="C44" s="7"/>
      <c r="D44" s="4"/>
      <c r="E44" s="7"/>
      <c r="F44" s="4"/>
      <c r="G44" s="7"/>
      <c r="H44" s="4"/>
      <c r="I44" s="4"/>
      <c r="J44" s="4"/>
      <c r="K44" s="4"/>
      <c r="L44" s="7"/>
      <c r="M44" s="16" t="s">
        <v>226</v>
      </c>
      <c r="N44" s="7" t="s">
        <v>83</v>
      </c>
      <c r="P44" s="18" t="s">
        <v>227</v>
      </c>
      <c r="Q44" s="18" t="s">
        <v>228</v>
      </c>
      <c r="R44" s="18" t="s">
        <v>191</v>
      </c>
      <c r="S44" s="7" t="s">
        <v>229</v>
      </c>
      <c r="T44" s="7" t="s">
        <v>192</v>
      </c>
      <c r="U44" s="7" t="s">
        <v>230</v>
      </c>
      <c r="V44" s="7" t="s">
        <v>231</v>
      </c>
      <c r="W44" s="7" t="s">
        <v>232</v>
      </c>
      <c r="X44" s="7" t="s">
        <v>233</v>
      </c>
      <c r="Y44" s="7" t="s">
        <v>234</v>
      </c>
      <c r="Z44" s="7" t="s">
        <v>235</v>
      </c>
      <c r="AA44" s="7" t="s">
        <v>236</v>
      </c>
      <c r="AB44" s="7" t="s">
        <v>237</v>
      </c>
      <c r="AC44" s="7" t="s">
        <v>237</v>
      </c>
      <c r="AD44" s="7" t="s">
        <v>238</v>
      </c>
    </row>
    <row r="45" spans="1:30" ht="12.75" customHeight="1">
      <c r="A45" s="7"/>
      <c r="B45" s="7"/>
      <c r="C45" s="7"/>
      <c r="D45" s="4"/>
      <c r="E45" s="7"/>
      <c r="F45" s="4"/>
      <c r="G45" s="7"/>
      <c r="H45" s="4"/>
      <c r="I45" s="4"/>
      <c r="J45" s="4"/>
      <c r="K45" s="4"/>
      <c r="L45" s="7"/>
      <c r="M45" s="16" t="s">
        <v>239</v>
      </c>
      <c r="N45" s="7" t="s">
        <v>83</v>
      </c>
      <c r="O45" s="32">
        <v>0.57079999999999997</v>
      </c>
      <c r="P45" s="18" t="s">
        <v>240</v>
      </c>
      <c r="Q45" s="31">
        <v>19.47</v>
      </c>
      <c r="R45" s="7" t="s">
        <v>87</v>
      </c>
      <c r="S45" s="7" t="s">
        <v>229</v>
      </c>
      <c r="T45" s="7" t="s">
        <v>241</v>
      </c>
      <c r="U45" s="7" t="s">
        <v>242</v>
      </c>
      <c r="V45" s="7" t="s">
        <v>243</v>
      </c>
      <c r="W45" s="7" t="s">
        <v>244</v>
      </c>
      <c r="X45" s="7" t="s">
        <v>245</v>
      </c>
      <c r="Y45" s="7" t="s">
        <v>197</v>
      </c>
      <c r="Z45" s="7" t="s">
        <v>246</v>
      </c>
      <c r="AA45" s="7"/>
      <c r="AB45" s="7"/>
      <c r="AC45" s="7"/>
      <c r="AD45" s="7"/>
    </row>
    <row r="46" spans="1:30" ht="12.75" customHeight="1">
      <c r="A46" s="7"/>
      <c r="B46" s="7"/>
      <c r="C46" s="7"/>
      <c r="D46" s="4"/>
      <c r="E46" s="7"/>
      <c r="F46" s="4"/>
      <c r="G46" s="7"/>
      <c r="H46" s="4"/>
      <c r="I46" s="4"/>
      <c r="J46" s="4"/>
      <c r="K46" s="4"/>
      <c r="L46" s="7"/>
      <c r="M46" s="16" t="s">
        <v>247</v>
      </c>
      <c r="N46" s="7"/>
      <c r="O46" s="32"/>
      <c r="P46" s="18"/>
      <c r="Q46" s="31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2.75" customHeight="1">
      <c r="A47" s="7"/>
      <c r="B47" s="7"/>
      <c r="C47" s="7"/>
      <c r="D47" s="4"/>
      <c r="E47" s="7"/>
      <c r="F47" s="4"/>
      <c r="G47" s="7"/>
      <c r="H47" s="4"/>
      <c r="I47" s="4"/>
      <c r="J47" s="4"/>
      <c r="K47" s="4"/>
      <c r="L47" s="7"/>
      <c r="M47" s="16" t="s">
        <v>248</v>
      </c>
      <c r="N47" s="7" t="s">
        <v>83</v>
      </c>
      <c r="O47" s="32">
        <v>0.61065999999999998</v>
      </c>
      <c r="P47" s="18" t="s">
        <v>249</v>
      </c>
      <c r="Q47" s="31">
        <v>23.79</v>
      </c>
      <c r="R47" s="7" t="s">
        <v>250</v>
      </c>
      <c r="S47" s="7" t="s">
        <v>251</v>
      </c>
      <c r="T47" s="7" t="s">
        <v>252</v>
      </c>
      <c r="U47" s="7" t="s">
        <v>253</v>
      </c>
      <c r="V47" s="7" t="s">
        <v>254</v>
      </c>
      <c r="W47" s="7" t="s">
        <v>255</v>
      </c>
      <c r="X47" s="7" t="s">
        <v>256</v>
      </c>
      <c r="Y47" s="7" t="s">
        <v>257</v>
      </c>
      <c r="Z47" s="7" t="s">
        <v>258</v>
      </c>
      <c r="AA47" s="7" t="s">
        <v>259</v>
      </c>
      <c r="AB47" s="7"/>
      <c r="AC47" s="7"/>
      <c r="AD47" s="7"/>
    </row>
    <row r="48" spans="1:30" ht="24.75" customHeight="1">
      <c r="A48" s="7"/>
      <c r="B48" s="7"/>
      <c r="C48" s="7"/>
      <c r="D48" s="4"/>
      <c r="E48" s="7"/>
      <c r="F48" s="4"/>
      <c r="G48" s="7"/>
      <c r="H48" s="4"/>
      <c r="I48" s="4"/>
      <c r="J48" s="4"/>
      <c r="K48" s="4"/>
      <c r="L48" s="7"/>
      <c r="M48" s="16" t="s">
        <v>260</v>
      </c>
      <c r="N48" s="13" t="s">
        <v>261</v>
      </c>
      <c r="P48" s="7"/>
      <c r="Q48" s="7"/>
      <c r="R48" s="18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2.75" customHeight="1">
      <c r="A49" s="7" t="s">
        <v>29</v>
      </c>
      <c r="B49" s="7" t="s">
        <v>262</v>
      </c>
      <c r="C49" s="7" t="s">
        <v>262</v>
      </c>
      <c r="D49" s="4" t="s">
        <v>157</v>
      </c>
      <c r="E49" s="7" t="s">
        <v>262</v>
      </c>
      <c r="F49" s="4" t="s">
        <v>158</v>
      </c>
      <c r="G49" s="7"/>
      <c r="H49" s="4" t="s">
        <v>159</v>
      </c>
      <c r="I49" s="4"/>
      <c r="J49" s="4"/>
      <c r="K49" s="4" t="s">
        <v>149</v>
      </c>
      <c r="L49" s="7" t="s">
        <v>262</v>
      </c>
      <c r="M49" s="7" t="s">
        <v>263</v>
      </c>
      <c r="N49" s="7"/>
      <c r="P49" s="19">
        <f>66.5/99.9</f>
        <v>0.66566566566566565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2.75" customHeight="1">
      <c r="A50" s="7" t="s">
        <v>29</v>
      </c>
      <c r="B50" s="7" t="s">
        <v>264</v>
      </c>
      <c r="C50" s="7" t="s">
        <v>264</v>
      </c>
      <c r="D50" s="4" t="s">
        <v>157</v>
      </c>
      <c r="E50" s="7" t="s">
        <v>264</v>
      </c>
      <c r="F50" s="4" t="s">
        <v>158</v>
      </c>
      <c r="G50" s="7"/>
      <c r="H50" s="4" t="s">
        <v>265</v>
      </c>
      <c r="I50" s="4"/>
      <c r="J50" s="4"/>
      <c r="K50" s="4" t="s">
        <v>149</v>
      </c>
      <c r="L50" s="7" t="s">
        <v>264</v>
      </c>
      <c r="M50" s="7" t="s">
        <v>266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2.75" customHeight="1">
      <c r="A51" s="7" t="s">
        <v>29</v>
      </c>
      <c r="B51" s="7" t="s">
        <v>267</v>
      </c>
      <c r="C51" s="7" t="s">
        <v>267</v>
      </c>
      <c r="D51" s="4" t="s">
        <v>157</v>
      </c>
      <c r="E51" s="7" t="s">
        <v>267</v>
      </c>
      <c r="F51" s="4" t="s">
        <v>158</v>
      </c>
      <c r="G51" s="7"/>
      <c r="H51" s="4" t="s">
        <v>265</v>
      </c>
      <c r="I51" s="4"/>
      <c r="J51" s="4"/>
      <c r="K51" s="4" t="s">
        <v>149</v>
      </c>
      <c r="L51" s="7" t="s">
        <v>267</v>
      </c>
      <c r="M51" s="10" t="s">
        <v>268</v>
      </c>
      <c r="N51" s="7" t="s">
        <v>83</v>
      </c>
      <c r="O51" s="7" t="s">
        <v>269</v>
      </c>
      <c r="P51" s="7" t="s">
        <v>270</v>
      </c>
      <c r="Q51" s="7" t="s">
        <v>271</v>
      </c>
      <c r="R51" s="7" t="s">
        <v>87</v>
      </c>
      <c r="S51" s="7" t="s">
        <v>272</v>
      </c>
      <c r="T51" s="7" t="s">
        <v>273</v>
      </c>
      <c r="U51" s="7" t="s">
        <v>274</v>
      </c>
      <c r="V51" s="14" t="s">
        <v>275</v>
      </c>
      <c r="W51" s="7" t="s">
        <v>276</v>
      </c>
      <c r="X51" s="7" t="s">
        <v>172</v>
      </c>
      <c r="Y51" s="7" t="s">
        <v>277</v>
      </c>
      <c r="Z51" s="7" t="s">
        <v>278</v>
      </c>
      <c r="AA51" s="7" t="s">
        <v>279</v>
      </c>
      <c r="AB51" s="7"/>
      <c r="AC51" s="7"/>
      <c r="AD51" s="7"/>
    </row>
    <row r="52" spans="1:30" ht="12.75" customHeight="1">
      <c r="A52" s="7"/>
      <c r="B52" s="7"/>
      <c r="C52" s="7"/>
      <c r="D52" s="4"/>
      <c r="E52" s="7"/>
      <c r="F52" s="4"/>
      <c r="G52" s="7"/>
      <c r="H52" s="4"/>
      <c r="I52" s="4"/>
      <c r="J52" s="4"/>
      <c r="K52" s="4"/>
      <c r="L52" s="7"/>
      <c r="M52" s="10" t="s">
        <v>280</v>
      </c>
      <c r="N52" s="7" t="s">
        <v>83</v>
      </c>
      <c r="O52" s="18" t="s">
        <v>281</v>
      </c>
      <c r="P52" s="18" t="s">
        <v>282</v>
      </c>
      <c r="Q52" s="18" t="s">
        <v>283</v>
      </c>
      <c r="R52" s="7" t="s">
        <v>284</v>
      </c>
      <c r="S52" s="7" t="s">
        <v>88</v>
      </c>
      <c r="T52" s="7" t="s">
        <v>285</v>
      </c>
      <c r="U52" s="7" t="s">
        <v>286</v>
      </c>
      <c r="V52" s="14" t="s">
        <v>287</v>
      </c>
      <c r="W52" s="7" t="s">
        <v>288</v>
      </c>
      <c r="X52" s="7" t="s">
        <v>172</v>
      </c>
      <c r="Y52" s="7" t="s">
        <v>289</v>
      </c>
      <c r="Z52" s="7" t="s">
        <v>290</v>
      </c>
      <c r="AA52" s="7" t="s">
        <v>291</v>
      </c>
      <c r="AB52" s="7"/>
      <c r="AC52" s="7"/>
      <c r="AD52" s="7"/>
    </row>
    <row r="53" spans="1:30" ht="12.75" customHeight="1">
      <c r="A53" s="7"/>
      <c r="B53" s="7"/>
      <c r="C53" s="7"/>
      <c r="D53" s="4"/>
      <c r="E53" s="7" t="s">
        <v>267</v>
      </c>
      <c r="F53" s="4"/>
      <c r="G53" s="7"/>
      <c r="H53" s="4"/>
      <c r="I53" s="4"/>
      <c r="J53" s="4"/>
      <c r="K53" s="4"/>
      <c r="L53" s="7"/>
      <c r="M53" s="16" t="s">
        <v>292</v>
      </c>
      <c r="N53" s="7" t="s">
        <v>83</v>
      </c>
      <c r="O53" s="19">
        <v>0.95679999999999998</v>
      </c>
      <c r="P53" s="7" t="s">
        <v>293</v>
      </c>
      <c r="Q53" s="7" t="s">
        <v>294</v>
      </c>
      <c r="R53" s="7" t="s">
        <v>87</v>
      </c>
      <c r="S53" s="7" t="s">
        <v>88</v>
      </c>
      <c r="T53" s="7" t="s">
        <v>295</v>
      </c>
      <c r="U53" s="7" t="s">
        <v>296</v>
      </c>
      <c r="V53" s="7" t="s">
        <v>297</v>
      </c>
      <c r="W53" s="7" t="s">
        <v>298</v>
      </c>
      <c r="X53" s="7" t="s">
        <v>172</v>
      </c>
      <c r="Y53" s="7" t="s">
        <v>299</v>
      </c>
      <c r="Z53" s="7" t="s">
        <v>300</v>
      </c>
      <c r="AA53" s="7" t="s">
        <v>301</v>
      </c>
      <c r="AB53" s="7"/>
      <c r="AC53" s="7"/>
      <c r="AD53" s="7"/>
    </row>
    <row r="54" spans="1:30" s="40" customFormat="1" ht="30.75" customHeight="1">
      <c r="A54" s="36"/>
      <c r="B54" s="36"/>
      <c r="C54" s="36"/>
      <c r="D54" s="37" t="s">
        <v>157</v>
      </c>
      <c r="E54" s="36"/>
      <c r="F54" s="37"/>
      <c r="G54" s="36"/>
      <c r="H54" s="37"/>
      <c r="I54" s="37"/>
      <c r="J54" s="37"/>
      <c r="K54" s="37"/>
      <c r="L54" s="36" t="s">
        <v>267</v>
      </c>
      <c r="M54" s="36" t="s">
        <v>280</v>
      </c>
      <c r="N54" s="36" t="s">
        <v>83</v>
      </c>
      <c r="O54" s="38" t="s">
        <v>302</v>
      </c>
      <c r="P54" s="39" t="s">
        <v>303</v>
      </c>
      <c r="Q54" s="39" t="s">
        <v>304</v>
      </c>
      <c r="R54" s="39" t="s">
        <v>305</v>
      </c>
      <c r="S54" s="36" t="s">
        <v>88</v>
      </c>
      <c r="T54" s="36" t="s">
        <v>306</v>
      </c>
      <c r="U54" s="36" t="s">
        <v>210</v>
      </c>
      <c r="V54" s="36" t="s">
        <v>307</v>
      </c>
      <c r="W54" s="36" t="s">
        <v>308</v>
      </c>
      <c r="X54" s="36" t="s">
        <v>172</v>
      </c>
      <c r="Y54" s="36" t="s">
        <v>309</v>
      </c>
      <c r="Z54" s="36" t="s">
        <v>310</v>
      </c>
      <c r="AA54" s="36" t="s">
        <v>311</v>
      </c>
      <c r="AB54" s="36"/>
      <c r="AC54" s="36"/>
      <c r="AD54" s="36"/>
    </row>
    <row r="55" spans="1:30" ht="12.75" customHeight="1">
      <c r="A55" s="7"/>
      <c r="B55" s="7"/>
      <c r="C55" s="7"/>
      <c r="D55" s="4"/>
      <c r="E55" s="7"/>
      <c r="F55" s="4"/>
      <c r="G55" s="7"/>
      <c r="H55" s="4"/>
      <c r="I55" s="4"/>
      <c r="J55" s="4"/>
      <c r="K55" s="4"/>
      <c r="L55" s="7"/>
      <c r="M55" s="7" t="s">
        <v>312</v>
      </c>
      <c r="N55" s="7" t="s">
        <v>83</v>
      </c>
      <c r="O55" s="20">
        <f>46/(100-2.7)</f>
        <v>0.47276464542651592</v>
      </c>
      <c r="P55" s="18"/>
      <c r="Q55" s="18" t="s">
        <v>313</v>
      </c>
      <c r="R55" s="18" t="s">
        <v>87</v>
      </c>
      <c r="S55" s="7" t="s">
        <v>251</v>
      </c>
      <c r="T55" s="7" t="s">
        <v>314</v>
      </c>
      <c r="U55" s="7" t="s">
        <v>315</v>
      </c>
      <c r="V55" s="7" t="s">
        <v>316</v>
      </c>
      <c r="W55" s="7" t="s">
        <v>317</v>
      </c>
      <c r="X55" s="7" t="s">
        <v>172</v>
      </c>
      <c r="Y55" s="7" t="s">
        <v>318</v>
      </c>
      <c r="Z55" s="7" t="s">
        <v>319</v>
      </c>
      <c r="AA55" s="7"/>
      <c r="AB55" s="7"/>
      <c r="AC55" s="7"/>
      <c r="AD55" s="7"/>
    </row>
    <row r="56" spans="1:30" ht="26.25" customHeight="1">
      <c r="A56" s="7"/>
      <c r="B56" s="7"/>
      <c r="C56" s="7"/>
      <c r="D56" s="4"/>
      <c r="E56" s="7"/>
      <c r="F56" s="4"/>
      <c r="G56" s="7"/>
      <c r="H56" s="4"/>
      <c r="I56" s="4"/>
      <c r="J56" s="4"/>
      <c r="K56" s="4"/>
      <c r="L56" s="7"/>
      <c r="M56" s="18" t="s">
        <v>320</v>
      </c>
      <c r="N56" s="7" t="s">
        <v>83</v>
      </c>
      <c r="O56" s="20" t="s">
        <v>321</v>
      </c>
      <c r="P56" s="18"/>
      <c r="Q56" s="18" t="s">
        <v>322</v>
      </c>
      <c r="R56" s="18" t="s">
        <v>323</v>
      </c>
      <c r="S56" s="7" t="s">
        <v>251</v>
      </c>
      <c r="T56" s="7" t="s">
        <v>324</v>
      </c>
      <c r="U56" s="7" t="s">
        <v>325</v>
      </c>
      <c r="V56" s="7" t="s">
        <v>326</v>
      </c>
      <c r="W56" s="7" t="s">
        <v>327</v>
      </c>
      <c r="X56" s="7" t="s">
        <v>172</v>
      </c>
      <c r="Y56" s="7" t="s">
        <v>328</v>
      </c>
      <c r="Z56" s="7" t="s">
        <v>329</v>
      </c>
      <c r="AA56" s="7"/>
      <c r="AB56" s="7"/>
      <c r="AC56" s="7"/>
      <c r="AD56" s="7"/>
    </row>
    <row r="57" spans="1:30" ht="26.25" customHeight="1">
      <c r="A57" s="7"/>
      <c r="B57" s="7"/>
      <c r="C57" s="7"/>
      <c r="D57" s="4"/>
      <c r="E57" s="7"/>
      <c r="F57" s="4"/>
      <c r="G57" s="7"/>
      <c r="H57" s="4"/>
      <c r="I57" s="4"/>
      <c r="J57" s="4"/>
      <c r="K57" s="4"/>
      <c r="L57" s="7"/>
      <c r="M57" s="18" t="s">
        <v>330</v>
      </c>
      <c r="N57" s="7" t="s">
        <v>83</v>
      </c>
      <c r="O57" s="20" t="s">
        <v>331</v>
      </c>
      <c r="P57" s="18"/>
      <c r="Q57" s="18" t="s">
        <v>332</v>
      </c>
      <c r="R57" s="18" t="s">
        <v>333</v>
      </c>
      <c r="S57" s="7" t="s">
        <v>251</v>
      </c>
      <c r="T57" s="7" t="s">
        <v>334</v>
      </c>
      <c r="U57" s="7" t="s">
        <v>335</v>
      </c>
      <c r="V57" s="7" t="s">
        <v>336</v>
      </c>
      <c r="W57" s="7" t="s">
        <v>337</v>
      </c>
      <c r="X57" s="7" t="s">
        <v>172</v>
      </c>
      <c r="Y57" s="7" t="s">
        <v>338</v>
      </c>
      <c r="Z57" s="7" t="s">
        <v>339</v>
      </c>
      <c r="AA57" s="7"/>
      <c r="AB57" s="7"/>
      <c r="AC57" s="7"/>
      <c r="AD57" s="7"/>
    </row>
    <row r="58" spans="1:30" ht="26.25" customHeight="1">
      <c r="A58" s="7"/>
      <c r="B58" s="7"/>
      <c r="C58" s="7"/>
      <c r="D58" s="4"/>
      <c r="E58" s="7"/>
      <c r="F58" s="4"/>
      <c r="G58" s="7"/>
      <c r="H58" s="4"/>
      <c r="I58" s="4"/>
      <c r="J58" s="4"/>
      <c r="K58" s="4"/>
      <c r="L58" s="7"/>
      <c r="M58" s="18" t="s">
        <v>340</v>
      </c>
      <c r="N58" s="7" t="s">
        <v>83</v>
      </c>
      <c r="O58" s="20" t="s">
        <v>341</v>
      </c>
      <c r="P58" s="18"/>
      <c r="Q58" s="18" t="s">
        <v>342</v>
      </c>
      <c r="R58" s="18" t="s">
        <v>343</v>
      </c>
      <c r="S58" s="7" t="s">
        <v>251</v>
      </c>
      <c r="T58" s="7" t="s">
        <v>344</v>
      </c>
      <c r="U58" s="7" t="s">
        <v>345</v>
      </c>
      <c r="V58" s="7" t="s">
        <v>346</v>
      </c>
      <c r="W58" s="7" t="s">
        <v>347</v>
      </c>
      <c r="X58" s="7" t="s">
        <v>245</v>
      </c>
      <c r="Y58" s="7" t="s">
        <v>348</v>
      </c>
      <c r="Z58" s="7" t="s">
        <v>349</v>
      </c>
      <c r="AA58" s="7"/>
      <c r="AB58" s="7"/>
      <c r="AC58" s="7"/>
      <c r="AD58" s="7"/>
    </row>
    <row r="59" spans="1:30" ht="12.75" customHeight="1">
      <c r="A59" s="2" t="s">
        <v>29</v>
      </c>
      <c r="B59" s="7" t="s">
        <v>350</v>
      </c>
      <c r="C59" s="7" t="s">
        <v>350</v>
      </c>
      <c r="D59" s="4" t="s">
        <v>157</v>
      </c>
      <c r="E59" s="7" t="s">
        <v>350</v>
      </c>
      <c r="F59" s="4" t="s">
        <v>351</v>
      </c>
      <c r="G59" s="7"/>
      <c r="H59" s="4" t="s">
        <v>265</v>
      </c>
      <c r="I59" s="4"/>
      <c r="J59" s="4"/>
      <c r="K59" s="4" t="s">
        <v>149</v>
      </c>
      <c r="L59" s="7" t="s">
        <v>350</v>
      </c>
      <c r="M59" s="7" t="s">
        <v>352</v>
      </c>
      <c r="N59" s="7"/>
      <c r="O59" s="20">
        <f>68.7/(100-2.1)</f>
        <v>0.70173646578140958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2.75" customHeight="1">
      <c r="A60" s="7" t="s">
        <v>29</v>
      </c>
      <c r="B60" s="7" t="s">
        <v>353</v>
      </c>
      <c r="C60" s="7" t="s">
        <v>353</v>
      </c>
      <c r="D60" s="4" t="s">
        <v>354</v>
      </c>
      <c r="E60" s="7" t="s">
        <v>353</v>
      </c>
      <c r="F60" s="4" t="s">
        <v>355</v>
      </c>
      <c r="G60" s="7"/>
      <c r="H60" s="4" t="s">
        <v>356</v>
      </c>
      <c r="I60" s="4"/>
      <c r="J60" s="4"/>
      <c r="K60" s="4" t="s">
        <v>149</v>
      </c>
      <c r="L60" s="7" t="s">
        <v>353</v>
      </c>
      <c r="M60" s="7" t="s">
        <v>357</v>
      </c>
      <c r="N60" s="7"/>
      <c r="O60">
        <f>69.5/(100-2.5)</f>
        <v>0.71282051282051284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2.75" customHeight="1">
      <c r="A61" s="7" t="s">
        <v>29</v>
      </c>
      <c r="B61" s="7" t="s">
        <v>358</v>
      </c>
      <c r="C61" s="7" t="s">
        <v>358</v>
      </c>
      <c r="D61" s="4" t="s">
        <v>354</v>
      </c>
      <c r="E61" s="7" t="s">
        <v>358</v>
      </c>
      <c r="F61" s="4" t="s">
        <v>359</v>
      </c>
      <c r="G61" s="7"/>
      <c r="H61" s="4" t="s">
        <v>356</v>
      </c>
      <c r="I61" s="4"/>
      <c r="J61" s="4"/>
      <c r="K61" s="4" t="s">
        <v>149</v>
      </c>
      <c r="L61" s="7" t="s">
        <v>358</v>
      </c>
      <c r="M61" s="7" t="s">
        <v>357</v>
      </c>
      <c r="N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2.75" customHeight="1">
      <c r="A62" s="7" t="s">
        <v>29</v>
      </c>
      <c r="B62" s="7" t="s">
        <v>360</v>
      </c>
      <c r="C62" s="7" t="s">
        <v>360</v>
      </c>
      <c r="D62" s="4" t="s">
        <v>354</v>
      </c>
      <c r="E62" s="7" t="s">
        <v>360</v>
      </c>
      <c r="F62" s="4" t="s">
        <v>361</v>
      </c>
      <c r="G62" s="7"/>
      <c r="H62" s="4" t="s">
        <v>356</v>
      </c>
      <c r="I62" s="4"/>
      <c r="J62" s="4"/>
      <c r="K62" s="4" t="s">
        <v>149</v>
      </c>
      <c r="L62" s="7" t="s">
        <v>360</v>
      </c>
      <c r="M62" s="6" t="s">
        <v>57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2.75" customHeight="1">
      <c r="A63" s="7" t="s">
        <v>29</v>
      </c>
      <c r="B63" s="7" t="s">
        <v>362</v>
      </c>
      <c r="C63" s="7" t="s">
        <v>362</v>
      </c>
      <c r="D63" s="4" t="s">
        <v>354</v>
      </c>
      <c r="E63" s="7" t="s">
        <v>362</v>
      </c>
      <c r="F63" s="4" t="s">
        <v>361</v>
      </c>
      <c r="G63" s="7"/>
      <c r="H63" s="4" t="s">
        <v>356</v>
      </c>
      <c r="I63" s="4"/>
      <c r="J63" s="4"/>
      <c r="K63" s="4" t="s">
        <v>149</v>
      </c>
      <c r="L63" s="7" t="s">
        <v>362</v>
      </c>
      <c r="M63" s="6" t="s">
        <v>37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2.75" customHeight="1">
      <c r="A64" s="7" t="s">
        <v>29</v>
      </c>
      <c r="B64" s="7" t="s">
        <v>363</v>
      </c>
      <c r="C64" s="7" t="s">
        <v>363</v>
      </c>
      <c r="D64" s="4" t="s">
        <v>354</v>
      </c>
      <c r="E64" s="7" t="s">
        <v>363</v>
      </c>
      <c r="F64" s="4" t="s">
        <v>361</v>
      </c>
      <c r="G64" s="7"/>
      <c r="H64" s="4" t="s">
        <v>356</v>
      </c>
      <c r="I64" s="4"/>
      <c r="J64" s="4"/>
      <c r="K64" s="4" t="s">
        <v>149</v>
      </c>
      <c r="L64" s="7" t="s">
        <v>363</v>
      </c>
      <c r="M64" s="6" t="s">
        <v>364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2.75" customHeight="1">
      <c r="A65" s="7" t="s">
        <v>29</v>
      </c>
      <c r="B65" s="7" t="s">
        <v>365</v>
      </c>
      <c r="C65" s="7" t="s">
        <v>365</v>
      </c>
      <c r="D65" s="4" t="s">
        <v>354</v>
      </c>
      <c r="E65" s="7" t="s">
        <v>365</v>
      </c>
      <c r="F65" s="4" t="s">
        <v>361</v>
      </c>
      <c r="G65" s="7"/>
      <c r="H65" s="4" t="s">
        <v>356</v>
      </c>
      <c r="I65" s="4"/>
      <c r="J65" s="4"/>
      <c r="K65" s="4" t="s">
        <v>149</v>
      </c>
      <c r="L65" s="7" t="s">
        <v>365</v>
      </c>
      <c r="M65" s="7" t="s">
        <v>44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2.75" customHeight="1">
      <c r="A66" s="7" t="s">
        <v>29</v>
      </c>
      <c r="B66" s="7" t="s">
        <v>366</v>
      </c>
      <c r="C66" s="7" t="s">
        <v>366</v>
      </c>
      <c r="D66" s="4" t="s">
        <v>354</v>
      </c>
      <c r="E66" s="7" t="s">
        <v>366</v>
      </c>
      <c r="F66" s="4" t="s">
        <v>367</v>
      </c>
      <c r="G66" s="7"/>
      <c r="H66" s="4" t="s">
        <v>356</v>
      </c>
      <c r="I66" s="4"/>
      <c r="J66" s="4"/>
      <c r="K66" s="4" t="s">
        <v>149</v>
      </c>
      <c r="L66" s="7" t="s">
        <v>366</v>
      </c>
      <c r="M66" s="6" t="s">
        <v>57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2.75" customHeight="1">
      <c r="A67" s="2" t="s">
        <v>29</v>
      </c>
      <c r="B67" s="7" t="s">
        <v>368</v>
      </c>
      <c r="C67" s="7" t="s">
        <v>368</v>
      </c>
      <c r="D67" s="4" t="s">
        <v>354</v>
      </c>
      <c r="E67" s="7" t="s">
        <v>368</v>
      </c>
      <c r="F67" s="4" t="s">
        <v>355</v>
      </c>
      <c r="G67" s="7"/>
      <c r="H67" s="4" t="s">
        <v>369</v>
      </c>
      <c r="I67" s="4"/>
      <c r="J67" s="4"/>
      <c r="K67" s="4" t="s">
        <v>149</v>
      </c>
      <c r="L67" s="7" t="s">
        <v>368</v>
      </c>
      <c r="M67" s="6" t="s">
        <v>37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2.75" customHeight="1">
      <c r="A68" s="7" t="s">
        <v>29</v>
      </c>
      <c r="B68" s="7" t="s">
        <v>370</v>
      </c>
      <c r="C68" s="7" t="s">
        <v>370</v>
      </c>
      <c r="D68" s="4" t="s">
        <v>354</v>
      </c>
      <c r="E68" s="7" t="s">
        <v>370</v>
      </c>
      <c r="F68" s="4" t="s">
        <v>361</v>
      </c>
      <c r="G68" s="7"/>
      <c r="H68" s="4" t="s">
        <v>369</v>
      </c>
      <c r="I68" s="4"/>
      <c r="J68" s="4"/>
      <c r="K68" s="4" t="s">
        <v>149</v>
      </c>
      <c r="L68" s="7" t="s">
        <v>370</v>
      </c>
      <c r="M68" s="6" t="s">
        <v>37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2.75" customHeight="1">
      <c r="A69" s="7" t="s">
        <v>29</v>
      </c>
      <c r="B69" s="7" t="s">
        <v>371</v>
      </c>
      <c r="C69" s="7" t="s">
        <v>371</v>
      </c>
      <c r="D69" s="4" t="s">
        <v>354</v>
      </c>
      <c r="E69" s="7" t="s">
        <v>371</v>
      </c>
      <c r="F69" s="4" t="s">
        <v>361</v>
      </c>
      <c r="G69" s="7"/>
      <c r="H69" s="4" t="s">
        <v>369</v>
      </c>
      <c r="I69" s="4"/>
      <c r="J69" s="4"/>
      <c r="K69" s="4" t="s">
        <v>149</v>
      </c>
      <c r="L69" s="7" t="s">
        <v>371</v>
      </c>
      <c r="M69" s="6" t="s">
        <v>37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2.75" customHeight="1">
      <c r="A70" s="7" t="s">
        <v>29</v>
      </c>
      <c r="B70" s="7" t="s">
        <v>372</v>
      </c>
      <c r="C70" s="7" t="s">
        <v>372</v>
      </c>
      <c r="D70" s="4" t="s">
        <v>354</v>
      </c>
      <c r="E70" s="7" t="s">
        <v>372</v>
      </c>
      <c r="F70" s="4" t="s">
        <v>361</v>
      </c>
      <c r="G70" s="7"/>
      <c r="H70" s="4" t="s">
        <v>369</v>
      </c>
      <c r="I70" s="4"/>
      <c r="J70" s="4"/>
      <c r="K70" s="4" t="s">
        <v>149</v>
      </c>
      <c r="L70" s="7" t="s">
        <v>372</v>
      </c>
      <c r="M70" s="6" t="s">
        <v>37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2.75" customHeight="1">
      <c r="A71" s="7" t="s">
        <v>29</v>
      </c>
      <c r="B71" s="7" t="s">
        <v>373</v>
      </c>
      <c r="C71" s="7" t="s">
        <v>373</v>
      </c>
      <c r="D71" s="4" t="s">
        <v>354</v>
      </c>
      <c r="E71" s="7" t="s">
        <v>373</v>
      </c>
      <c r="F71" s="4" t="s">
        <v>361</v>
      </c>
      <c r="G71" s="7"/>
      <c r="H71" s="4" t="s">
        <v>369</v>
      </c>
      <c r="I71" s="4"/>
      <c r="J71" s="4"/>
      <c r="K71" s="4" t="s">
        <v>149</v>
      </c>
      <c r="L71" s="7" t="s">
        <v>373</v>
      </c>
      <c r="M71" s="7" t="s">
        <v>44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2.75" customHeight="1">
      <c r="A72" s="7" t="s">
        <v>29</v>
      </c>
      <c r="B72" s="7" t="s">
        <v>374</v>
      </c>
      <c r="C72" s="7" t="s">
        <v>374</v>
      </c>
      <c r="D72" s="4" t="s">
        <v>354</v>
      </c>
      <c r="E72" s="7" t="s">
        <v>374</v>
      </c>
      <c r="F72" s="4" t="s">
        <v>361</v>
      </c>
      <c r="G72" s="7"/>
      <c r="H72" s="4" t="s">
        <v>369</v>
      </c>
      <c r="I72" s="4"/>
      <c r="J72" s="4"/>
      <c r="K72" s="4" t="s">
        <v>149</v>
      </c>
      <c r="L72" s="7" t="s">
        <v>374</v>
      </c>
      <c r="M72" s="6" t="s">
        <v>375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2.75" customHeight="1">
      <c r="A73" s="7" t="s">
        <v>29</v>
      </c>
      <c r="B73" s="7" t="s">
        <v>376</v>
      </c>
      <c r="C73" s="7" t="s">
        <v>376</v>
      </c>
      <c r="D73" s="4" t="s">
        <v>354</v>
      </c>
      <c r="E73" s="7" t="s">
        <v>376</v>
      </c>
      <c r="F73" s="4" t="s">
        <v>377</v>
      </c>
      <c r="G73" s="7"/>
      <c r="H73" s="4" t="s">
        <v>378</v>
      </c>
      <c r="I73" s="4"/>
      <c r="J73" s="4"/>
      <c r="K73" s="4" t="s">
        <v>149</v>
      </c>
      <c r="L73" s="7" t="s">
        <v>376</v>
      </c>
      <c r="M73" s="7" t="s">
        <v>357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2.75" customHeight="1">
      <c r="A74" s="7" t="s">
        <v>29</v>
      </c>
      <c r="B74" s="7" t="s">
        <v>379</v>
      </c>
      <c r="C74" s="7" t="s">
        <v>379</v>
      </c>
      <c r="D74" s="4" t="s">
        <v>354</v>
      </c>
      <c r="E74" s="7" t="s">
        <v>379</v>
      </c>
      <c r="F74" s="4" t="s">
        <v>380</v>
      </c>
      <c r="G74" s="7"/>
      <c r="H74" s="4" t="s">
        <v>381</v>
      </c>
      <c r="I74" s="4"/>
      <c r="J74" s="4"/>
      <c r="K74" s="4" t="s">
        <v>149</v>
      </c>
      <c r="L74" s="7" t="s">
        <v>379</v>
      </c>
      <c r="M74" s="6" t="s">
        <v>57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2.75" customHeight="1">
      <c r="A75" s="2" t="s">
        <v>29</v>
      </c>
      <c r="B75" s="7" t="s">
        <v>382</v>
      </c>
      <c r="C75" s="7" t="s">
        <v>382</v>
      </c>
      <c r="D75" s="4" t="s">
        <v>354</v>
      </c>
      <c r="E75" s="7" t="s">
        <v>382</v>
      </c>
      <c r="F75" s="4" t="s">
        <v>383</v>
      </c>
      <c r="G75" s="7"/>
      <c r="H75" s="4" t="s">
        <v>384</v>
      </c>
      <c r="I75" s="4"/>
      <c r="J75" s="4"/>
      <c r="K75" s="4" t="s">
        <v>149</v>
      </c>
      <c r="L75" s="7" t="s">
        <v>382</v>
      </c>
      <c r="M75" s="7" t="s">
        <v>385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2.75" customHeight="1">
      <c r="A76" s="7" t="s">
        <v>29</v>
      </c>
      <c r="B76" s="7" t="s">
        <v>386</v>
      </c>
      <c r="C76" s="7" t="s">
        <v>386</v>
      </c>
      <c r="D76" s="4" t="s">
        <v>354</v>
      </c>
      <c r="E76" s="7" t="s">
        <v>386</v>
      </c>
      <c r="F76" s="4" t="s">
        <v>387</v>
      </c>
      <c r="G76" s="7"/>
      <c r="H76" s="4" t="s">
        <v>384</v>
      </c>
      <c r="I76" s="4"/>
      <c r="J76" s="4"/>
      <c r="K76" s="4" t="s">
        <v>149</v>
      </c>
      <c r="L76" s="7" t="s">
        <v>386</v>
      </c>
      <c r="M76" s="6" t="s">
        <v>37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2.75" customHeight="1">
      <c r="A77" s="7" t="s">
        <v>29</v>
      </c>
      <c r="B77" s="7" t="s">
        <v>388</v>
      </c>
      <c r="C77" s="7" t="s">
        <v>388</v>
      </c>
      <c r="D77" s="4" t="s">
        <v>354</v>
      </c>
      <c r="E77" s="7" t="s">
        <v>388</v>
      </c>
      <c r="F77" s="4" t="s">
        <v>387</v>
      </c>
      <c r="G77" s="7"/>
      <c r="H77" s="4" t="s">
        <v>384</v>
      </c>
      <c r="I77" s="4"/>
      <c r="J77" s="4"/>
      <c r="K77" s="4" t="s">
        <v>149</v>
      </c>
      <c r="L77" s="7" t="s">
        <v>388</v>
      </c>
      <c r="M77" s="6" t="s">
        <v>35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2.75" customHeight="1">
      <c r="A78" s="7" t="s">
        <v>29</v>
      </c>
      <c r="B78" s="7" t="s">
        <v>389</v>
      </c>
      <c r="C78" s="7" t="s">
        <v>389</v>
      </c>
      <c r="D78" s="4" t="s">
        <v>354</v>
      </c>
      <c r="E78" s="7" t="s">
        <v>389</v>
      </c>
      <c r="F78" s="4" t="s">
        <v>387</v>
      </c>
      <c r="G78" s="7"/>
      <c r="H78" s="4" t="s">
        <v>384</v>
      </c>
      <c r="I78" s="4"/>
      <c r="J78" s="4"/>
      <c r="K78" s="4" t="s">
        <v>149</v>
      </c>
      <c r="L78" s="7" t="s">
        <v>389</v>
      </c>
      <c r="M78" s="6" t="s">
        <v>37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2.75" customHeight="1">
      <c r="A79" s="7" t="s">
        <v>29</v>
      </c>
      <c r="B79" s="7" t="s">
        <v>390</v>
      </c>
      <c r="C79" s="7" t="s">
        <v>390</v>
      </c>
      <c r="D79" s="4" t="s">
        <v>354</v>
      </c>
      <c r="E79" s="7" t="s">
        <v>390</v>
      </c>
      <c r="F79" s="4" t="s">
        <v>351</v>
      </c>
      <c r="G79" s="7"/>
      <c r="H79" s="4" t="s">
        <v>384</v>
      </c>
      <c r="I79" s="4"/>
      <c r="J79" s="4"/>
      <c r="K79" s="4" t="s">
        <v>149</v>
      </c>
      <c r="L79" s="7" t="s">
        <v>390</v>
      </c>
      <c r="M79" s="6" t="s">
        <v>37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2.75" customHeight="1">
      <c r="A80" s="7" t="s">
        <v>29</v>
      </c>
      <c r="B80" s="7" t="s">
        <v>391</v>
      </c>
      <c r="C80" s="7" t="s">
        <v>391</v>
      </c>
      <c r="D80" s="4" t="s">
        <v>392</v>
      </c>
      <c r="E80" s="7" t="s">
        <v>391</v>
      </c>
      <c r="F80" s="4" t="s">
        <v>393</v>
      </c>
      <c r="G80" s="7"/>
      <c r="H80" s="4" t="s">
        <v>394</v>
      </c>
      <c r="I80" s="4"/>
      <c r="J80" s="4"/>
      <c r="K80" s="4" t="s">
        <v>149</v>
      </c>
      <c r="L80" s="7" t="s">
        <v>391</v>
      </c>
      <c r="M80" s="7" t="s">
        <v>395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2.75" customHeight="1">
      <c r="A81" s="7" t="s">
        <v>29</v>
      </c>
      <c r="B81" s="7" t="s">
        <v>396</v>
      </c>
      <c r="C81" s="7" t="s">
        <v>396</v>
      </c>
      <c r="D81" s="4" t="s">
        <v>392</v>
      </c>
      <c r="E81" s="7" t="s">
        <v>396</v>
      </c>
      <c r="F81" s="4" t="s">
        <v>397</v>
      </c>
      <c r="G81" s="7"/>
      <c r="H81" s="4" t="s">
        <v>394</v>
      </c>
      <c r="I81" s="4"/>
      <c r="J81" s="4"/>
      <c r="K81" s="4" t="s">
        <v>149</v>
      </c>
      <c r="L81" s="7" t="s">
        <v>396</v>
      </c>
      <c r="M81" s="6" t="s">
        <v>37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2.75" customHeight="1">
      <c r="A82" s="7" t="s">
        <v>29</v>
      </c>
      <c r="B82" s="7" t="s">
        <v>398</v>
      </c>
      <c r="C82" s="7" t="s">
        <v>398</v>
      </c>
      <c r="D82" s="4" t="s">
        <v>392</v>
      </c>
      <c r="E82" s="7" t="s">
        <v>398</v>
      </c>
      <c r="F82" s="4" t="s">
        <v>397</v>
      </c>
      <c r="G82" s="7"/>
      <c r="H82" s="4" t="s">
        <v>394</v>
      </c>
      <c r="I82" s="4"/>
      <c r="J82" s="4"/>
      <c r="K82" s="4" t="s">
        <v>149</v>
      </c>
      <c r="L82" s="7" t="s">
        <v>398</v>
      </c>
      <c r="M82" s="6" t="s">
        <v>37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2.75" customHeight="1">
      <c r="A83" s="2" t="s">
        <v>29</v>
      </c>
      <c r="B83" s="7" t="s">
        <v>399</v>
      </c>
      <c r="C83" s="7" t="s">
        <v>399</v>
      </c>
      <c r="D83" s="4" t="s">
        <v>392</v>
      </c>
      <c r="E83" s="7" t="s">
        <v>399</v>
      </c>
      <c r="F83" s="4" t="s">
        <v>393</v>
      </c>
      <c r="G83" s="7"/>
      <c r="H83" s="4" t="s">
        <v>394</v>
      </c>
      <c r="I83" s="4"/>
      <c r="J83" s="4"/>
      <c r="K83" s="4" t="s">
        <v>149</v>
      </c>
      <c r="L83" s="7" t="s">
        <v>399</v>
      </c>
      <c r="M83" s="6" t="s">
        <v>57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2.75" customHeight="1">
      <c r="A84" s="7" t="s">
        <v>29</v>
      </c>
      <c r="B84" s="7" t="s">
        <v>400</v>
      </c>
      <c r="C84" s="7" t="s">
        <v>400</v>
      </c>
      <c r="D84" s="4" t="s">
        <v>392</v>
      </c>
      <c r="E84" s="7" t="s">
        <v>400</v>
      </c>
      <c r="F84" s="4" t="s">
        <v>393</v>
      </c>
      <c r="G84" s="7"/>
      <c r="H84" s="4" t="s">
        <v>394</v>
      </c>
      <c r="I84" s="4"/>
      <c r="J84" s="4"/>
      <c r="K84" s="4" t="s">
        <v>149</v>
      </c>
      <c r="L84" s="7" t="s">
        <v>400</v>
      </c>
      <c r="M84" s="6" t="s">
        <v>37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2.75" customHeight="1">
      <c r="A85" s="7" t="s">
        <v>29</v>
      </c>
      <c r="B85" s="7" t="s">
        <v>401</v>
      </c>
      <c r="C85" s="7" t="s">
        <v>401</v>
      </c>
      <c r="D85" s="4" t="s">
        <v>392</v>
      </c>
      <c r="E85" s="7" t="s">
        <v>401</v>
      </c>
      <c r="F85" s="4" t="s">
        <v>393</v>
      </c>
      <c r="G85" s="7"/>
      <c r="H85" s="4" t="s">
        <v>394</v>
      </c>
      <c r="I85" s="4"/>
      <c r="J85" s="4"/>
      <c r="K85" s="4" t="s">
        <v>149</v>
      </c>
      <c r="L85" s="7" t="s">
        <v>401</v>
      </c>
      <c r="M85" s="6" t="s">
        <v>57</v>
      </c>
      <c r="N85" s="7"/>
      <c r="O85" s="1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2.75" customHeight="1">
      <c r="A86" s="7" t="s">
        <v>29</v>
      </c>
      <c r="B86" s="7" t="s">
        <v>402</v>
      </c>
      <c r="C86" s="7" t="s">
        <v>402</v>
      </c>
      <c r="D86" s="4" t="s">
        <v>392</v>
      </c>
      <c r="E86" s="7" t="s">
        <v>402</v>
      </c>
      <c r="F86" s="4" t="s">
        <v>393</v>
      </c>
      <c r="G86" s="7"/>
      <c r="H86" s="4" t="s">
        <v>394</v>
      </c>
      <c r="I86" s="4"/>
      <c r="J86" s="4"/>
      <c r="K86" s="4" t="s">
        <v>149</v>
      </c>
      <c r="L86" s="7" t="s">
        <v>402</v>
      </c>
      <c r="M86" s="6" t="s">
        <v>57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2.75" customHeight="1">
      <c r="A87" s="7" t="s">
        <v>29</v>
      </c>
      <c r="B87" s="7" t="s">
        <v>403</v>
      </c>
      <c r="C87" s="7" t="s">
        <v>403</v>
      </c>
      <c r="D87" s="4" t="s">
        <v>392</v>
      </c>
      <c r="E87" s="7" t="s">
        <v>403</v>
      </c>
      <c r="F87" s="4" t="s">
        <v>397</v>
      </c>
      <c r="G87" s="7"/>
      <c r="H87" s="4" t="s">
        <v>404</v>
      </c>
      <c r="I87" s="4"/>
      <c r="J87" s="4"/>
      <c r="K87" s="4" t="s">
        <v>149</v>
      </c>
      <c r="L87" s="7" t="s">
        <v>403</v>
      </c>
      <c r="M87" s="6" t="s">
        <v>37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2.75" customHeight="1">
      <c r="A88" s="7" t="s">
        <v>29</v>
      </c>
      <c r="B88" s="7" t="s">
        <v>405</v>
      </c>
      <c r="C88" s="7" t="s">
        <v>405</v>
      </c>
      <c r="D88" s="4" t="s">
        <v>392</v>
      </c>
      <c r="E88" s="7" t="s">
        <v>405</v>
      </c>
      <c r="F88" s="4" t="s">
        <v>397</v>
      </c>
      <c r="G88" s="7"/>
      <c r="H88" s="4" t="s">
        <v>404</v>
      </c>
      <c r="I88" s="4"/>
      <c r="J88" s="4"/>
      <c r="K88" s="4" t="s">
        <v>149</v>
      </c>
      <c r="L88" s="7" t="s">
        <v>405</v>
      </c>
      <c r="M88" s="6" t="s">
        <v>35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2.75" customHeight="1">
      <c r="A89" s="7" t="s">
        <v>29</v>
      </c>
      <c r="B89" s="7" t="s">
        <v>406</v>
      </c>
      <c r="C89" s="7" t="s">
        <v>406</v>
      </c>
      <c r="D89" s="4" t="s">
        <v>392</v>
      </c>
      <c r="E89" s="7" t="s">
        <v>406</v>
      </c>
      <c r="F89" s="4" t="s">
        <v>397</v>
      </c>
      <c r="G89" s="7"/>
      <c r="H89" s="4" t="s">
        <v>404</v>
      </c>
      <c r="I89" s="4"/>
      <c r="J89" s="4"/>
      <c r="K89" s="4" t="s">
        <v>149</v>
      </c>
      <c r="L89" s="7" t="s">
        <v>406</v>
      </c>
      <c r="M89" s="6" t="s">
        <v>37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2.75" customHeight="1">
      <c r="A90" s="7" t="s">
        <v>29</v>
      </c>
      <c r="B90" s="7" t="s">
        <v>407</v>
      </c>
      <c r="C90" s="7" t="s">
        <v>407</v>
      </c>
      <c r="D90" s="4" t="s">
        <v>408</v>
      </c>
      <c r="E90" s="7" t="s">
        <v>407</v>
      </c>
      <c r="F90" s="4" t="s">
        <v>397</v>
      </c>
      <c r="G90" s="7"/>
      <c r="H90" s="4" t="s">
        <v>409</v>
      </c>
      <c r="I90" s="4"/>
      <c r="J90" s="4"/>
      <c r="K90" s="4" t="s">
        <v>149</v>
      </c>
      <c r="L90" s="7" t="s">
        <v>407</v>
      </c>
      <c r="M90" s="6" t="s">
        <v>37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2.75" customHeight="1">
      <c r="A91" s="2" t="s">
        <v>29</v>
      </c>
      <c r="B91" s="7" t="s">
        <v>410</v>
      </c>
      <c r="C91" s="7" t="s">
        <v>410</v>
      </c>
      <c r="D91" s="4" t="s">
        <v>408</v>
      </c>
      <c r="E91" s="7" t="s">
        <v>410</v>
      </c>
      <c r="F91" s="4" t="s">
        <v>411</v>
      </c>
      <c r="G91" s="7"/>
      <c r="H91" s="4" t="s">
        <v>412</v>
      </c>
      <c r="I91" s="4"/>
      <c r="J91" s="4"/>
      <c r="K91" s="4" t="s">
        <v>149</v>
      </c>
      <c r="L91" s="7" t="s">
        <v>410</v>
      </c>
      <c r="M91" s="7" t="s">
        <v>44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3.5">
      <c r="A92" s="7" t="s">
        <v>29</v>
      </c>
      <c r="B92" s="7" t="s">
        <v>413</v>
      </c>
      <c r="C92" s="7" t="s">
        <v>413</v>
      </c>
      <c r="D92" s="4" t="s">
        <v>408</v>
      </c>
      <c r="E92" s="7" t="s">
        <v>413</v>
      </c>
      <c r="F92" s="4" t="s">
        <v>411</v>
      </c>
      <c r="G92" s="7"/>
      <c r="H92" s="4" t="s">
        <v>412</v>
      </c>
      <c r="I92" s="4"/>
      <c r="J92" s="4"/>
      <c r="K92" s="4" t="s">
        <v>149</v>
      </c>
      <c r="L92" s="7" t="s">
        <v>413</v>
      </c>
      <c r="M92" s="7" t="s">
        <v>44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2.75" customHeight="1">
      <c r="A93" s="7" t="s">
        <v>29</v>
      </c>
      <c r="B93" s="7" t="s">
        <v>414</v>
      </c>
      <c r="C93" s="7" t="s">
        <v>414</v>
      </c>
      <c r="D93" s="4" t="s">
        <v>415</v>
      </c>
      <c r="E93" s="7" t="s">
        <v>414</v>
      </c>
      <c r="F93" s="4" t="s">
        <v>416</v>
      </c>
      <c r="G93" s="7"/>
      <c r="H93" s="4" t="s">
        <v>417</v>
      </c>
      <c r="I93" s="4"/>
      <c r="J93" s="4"/>
      <c r="K93" s="4" t="s">
        <v>149</v>
      </c>
      <c r="L93" s="7" t="s">
        <v>414</v>
      </c>
      <c r="M93" s="7" t="s">
        <v>418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2.75" customHeight="1">
      <c r="A94" s="7" t="s">
        <v>29</v>
      </c>
      <c r="B94" s="7" t="s">
        <v>419</v>
      </c>
      <c r="C94" s="7" t="s">
        <v>419</v>
      </c>
      <c r="D94" s="4" t="s">
        <v>420</v>
      </c>
      <c r="E94" s="7" t="s">
        <v>419</v>
      </c>
      <c r="F94" s="4" t="s">
        <v>351</v>
      </c>
      <c r="G94" s="7"/>
      <c r="H94" s="4" t="s">
        <v>421</v>
      </c>
      <c r="I94" s="4"/>
      <c r="J94" s="4"/>
      <c r="K94" s="4" t="s">
        <v>149</v>
      </c>
      <c r="L94" s="7" t="s">
        <v>419</v>
      </c>
      <c r="M94" s="6" t="s">
        <v>35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2.75" customHeight="1">
      <c r="A95" s="7" t="s">
        <v>29</v>
      </c>
      <c r="B95" s="7" t="s">
        <v>422</v>
      </c>
      <c r="C95" s="7" t="s">
        <v>422</v>
      </c>
      <c r="D95" s="4" t="s">
        <v>420</v>
      </c>
      <c r="E95" s="7" t="s">
        <v>422</v>
      </c>
      <c r="F95" s="4" t="s">
        <v>351</v>
      </c>
      <c r="G95" s="7"/>
      <c r="H95" s="4" t="s">
        <v>423</v>
      </c>
      <c r="I95" s="4"/>
      <c r="J95" s="4"/>
      <c r="K95" s="4" t="s">
        <v>149</v>
      </c>
      <c r="L95" s="7" t="s">
        <v>422</v>
      </c>
      <c r="M95" s="6" t="s">
        <v>35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2.75" customHeight="1">
      <c r="A96" s="7" t="s">
        <v>29</v>
      </c>
      <c r="B96" s="7" t="s">
        <v>424</v>
      </c>
      <c r="C96" s="7" t="s">
        <v>424</v>
      </c>
      <c r="D96" s="4" t="s">
        <v>420</v>
      </c>
      <c r="E96" s="7" t="s">
        <v>424</v>
      </c>
      <c r="F96" s="4" t="s">
        <v>351</v>
      </c>
      <c r="G96" s="7"/>
      <c r="H96" s="4" t="s">
        <v>425</v>
      </c>
      <c r="I96" s="4"/>
      <c r="J96" s="4"/>
      <c r="K96" s="4" t="s">
        <v>149</v>
      </c>
      <c r="L96" s="7" t="s">
        <v>424</v>
      </c>
      <c r="M96" s="6" t="s">
        <v>35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3.5">
      <c r="A97" s="7" t="s">
        <v>29</v>
      </c>
      <c r="B97" s="7" t="s">
        <v>426</v>
      </c>
      <c r="C97" s="7" t="s">
        <v>426</v>
      </c>
      <c r="D97" s="4" t="s">
        <v>427</v>
      </c>
      <c r="E97" s="7" t="s">
        <v>426</v>
      </c>
      <c r="F97" s="4" t="s">
        <v>158</v>
      </c>
      <c r="G97" s="7"/>
      <c r="H97" s="4" t="s">
        <v>428</v>
      </c>
      <c r="I97" s="4"/>
      <c r="J97" s="4"/>
      <c r="K97" s="4" t="s">
        <v>149</v>
      </c>
      <c r="L97" s="7" t="s">
        <v>426</v>
      </c>
      <c r="M97" s="10" t="s">
        <v>429</v>
      </c>
      <c r="N97" s="7" t="s">
        <v>83</v>
      </c>
      <c r="O97" s="19">
        <f>34.9/(100-6.2)</f>
        <v>0.3720682302771855</v>
      </c>
      <c r="P97" s="7" t="s">
        <v>430</v>
      </c>
      <c r="Q97" s="7" t="s">
        <v>431</v>
      </c>
      <c r="R97" s="7" t="s">
        <v>87</v>
      </c>
      <c r="S97" s="7" t="s">
        <v>88</v>
      </c>
      <c r="T97" s="7" t="s">
        <v>432</v>
      </c>
      <c r="U97" s="7" t="s">
        <v>433</v>
      </c>
      <c r="V97" s="14" t="s">
        <v>434</v>
      </c>
      <c r="W97" s="7" t="s">
        <v>435</v>
      </c>
      <c r="X97" s="7" t="s">
        <v>436</v>
      </c>
      <c r="Y97" s="7" t="s">
        <v>437</v>
      </c>
      <c r="Z97" s="7" t="s">
        <v>438</v>
      </c>
      <c r="AA97" s="7" t="s">
        <v>439</v>
      </c>
      <c r="AB97" s="7"/>
      <c r="AC97" s="7"/>
      <c r="AD97" s="7"/>
    </row>
    <row r="98" spans="1:30" ht="35.25">
      <c r="A98" s="7"/>
      <c r="B98" s="7"/>
      <c r="C98" s="7"/>
      <c r="D98" s="4"/>
      <c r="E98" s="7"/>
      <c r="F98" s="4"/>
      <c r="G98" s="7"/>
      <c r="H98" s="4"/>
      <c r="I98" s="4"/>
      <c r="J98" s="4"/>
      <c r="K98" s="4"/>
      <c r="L98" s="7"/>
      <c r="M98" s="10" t="s">
        <v>280</v>
      </c>
      <c r="N98" s="7" t="s">
        <v>83</v>
      </c>
      <c r="O98" s="20" t="s">
        <v>440</v>
      </c>
      <c r="P98" s="18" t="s">
        <v>441</v>
      </c>
      <c r="Q98" s="18" t="s">
        <v>442</v>
      </c>
      <c r="R98" s="18" t="s">
        <v>443</v>
      </c>
      <c r="S98" s="7" t="s">
        <v>72</v>
      </c>
      <c r="T98" s="7" t="s">
        <v>444</v>
      </c>
      <c r="U98" s="7" t="s">
        <v>445</v>
      </c>
      <c r="V98" s="7" t="s">
        <v>446</v>
      </c>
      <c r="W98" s="7" t="s">
        <v>447</v>
      </c>
      <c r="X98" s="14" t="s">
        <v>448</v>
      </c>
      <c r="Y98" s="7" t="s">
        <v>449</v>
      </c>
      <c r="Z98" s="7" t="s">
        <v>450</v>
      </c>
      <c r="AA98" s="7" t="s">
        <v>451</v>
      </c>
      <c r="AB98" s="7"/>
      <c r="AC98" s="7"/>
      <c r="AD98" s="7"/>
    </row>
    <row r="99" spans="1:30" ht="35.25">
      <c r="A99" s="7"/>
      <c r="B99" s="7"/>
      <c r="C99" s="7"/>
      <c r="D99" s="4"/>
      <c r="E99" s="7"/>
      <c r="F99" s="4"/>
      <c r="G99" s="7"/>
      <c r="H99" s="4"/>
      <c r="I99" s="4"/>
      <c r="J99" s="4"/>
      <c r="K99" s="4"/>
      <c r="L99" s="7"/>
      <c r="M99" s="10" t="s">
        <v>452</v>
      </c>
      <c r="N99" s="7" t="s">
        <v>83</v>
      </c>
      <c r="O99" s="20" t="s">
        <v>453</v>
      </c>
      <c r="P99" s="18" t="s">
        <v>454</v>
      </c>
      <c r="Q99" s="18" t="s">
        <v>455</v>
      </c>
      <c r="R99" s="18" t="s">
        <v>456</v>
      </c>
      <c r="S99" s="17" t="s">
        <v>88</v>
      </c>
      <c r="T99" s="17" t="s">
        <v>457</v>
      </c>
      <c r="U99" s="7" t="s">
        <v>458</v>
      </c>
      <c r="V99" s="7" t="s">
        <v>459</v>
      </c>
      <c r="W99" s="7" t="s">
        <v>460</v>
      </c>
      <c r="X99" s="7" t="s">
        <v>245</v>
      </c>
      <c r="Y99" s="7" t="s">
        <v>461</v>
      </c>
      <c r="Z99" s="7" t="s">
        <v>462</v>
      </c>
      <c r="AA99" s="7" t="s">
        <v>463</v>
      </c>
      <c r="AB99" s="7"/>
      <c r="AC99" s="7"/>
      <c r="AD99" s="7"/>
    </row>
    <row r="100" spans="1:30" ht="35.25">
      <c r="A100" s="7"/>
      <c r="B100" s="7"/>
      <c r="C100" s="7"/>
      <c r="D100" s="4"/>
      <c r="E100" s="7"/>
      <c r="F100" s="4"/>
      <c r="G100" s="7"/>
      <c r="H100" s="4"/>
      <c r="I100" s="4"/>
      <c r="J100" s="4"/>
      <c r="K100" s="4"/>
      <c r="L100" s="7"/>
      <c r="M100" s="10" t="s">
        <v>464</v>
      </c>
      <c r="N100" s="7" t="s">
        <v>83</v>
      </c>
      <c r="O100" s="20" t="s">
        <v>465</v>
      </c>
      <c r="P100" s="18" t="s">
        <v>466</v>
      </c>
      <c r="Q100" s="18" t="s">
        <v>467</v>
      </c>
      <c r="R100" s="18" t="s">
        <v>468</v>
      </c>
      <c r="S100" s="17" t="s">
        <v>72</v>
      </c>
      <c r="T100" s="17" t="s">
        <v>469</v>
      </c>
      <c r="U100" s="7" t="s">
        <v>470</v>
      </c>
      <c r="V100" s="7" t="s">
        <v>471</v>
      </c>
      <c r="W100" s="7" t="s">
        <v>472</v>
      </c>
      <c r="X100" s="7" t="s">
        <v>473</v>
      </c>
      <c r="Y100" s="7" t="s">
        <v>474</v>
      </c>
      <c r="Z100" s="7" t="s">
        <v>475</v>
      </c>
      <c r="AA100" s="7" t="s">
        <v>476</v>
      </c>
      <c r="AB100" s="7"/>
      <c r="AC100" s="7"/>
      <c r="AD100" s="7"/>
    </row>
    <row r="101" spans="1:30" ht="35.25">
      <c r="A101" s="7"/>
      <c r="B101" s="7"/>
      <c r="C101" s="7"/>
      <c r="D101" s="4"/>
      <c r="E101" s="7"/>
      <c r="F101" s="4"/>
      <c r="G101" s="7"/>
      <c r="H101" s="4"/>
      <c r="I101" s="4"/>
      <c r="J101" s="4"/>
      <c r="K101" s="4"/>
      <c r="L101" s="7"/>
      <c r="M101" s="10" t="s">
        <v>477</v>
      </c>
      <c r="N101" s="7" t="s">
        <v>83</v>
      </c>
      <c r="O101" s="20" t="s">
        <v>478</v>
      </c>
      <c r="P101" s="18" t="s">
        <v>479</v>
      </c>
      <c r="Q101" s="18" t="s">
        <v>480</v>
      </c>
      <c r="R101" s="18" t="s">
        <v>481</v>
      </c>
      <c r="S101" s="17" t="s">
        <v>88</v>
      </c>
      <c r="T101" s="17" t="s">
        <v>482</v>
      </c>
      <c r="U101" s="7" t="s">
        <v>483</v>
      </c>
      <c r="V101" s="14" t="s">
        <v>462</v>
      </c>
      <c r="W101" s="7" t="s">
        <v>484</v>
      </c>
      <c r="X101" s="7" t="s">
        <v>245</v>
      </c>
      <c r="Y101" s="7" t="s">
        <v>485</v>
      </c>
      <c r="Z101" s="7" t="s">
        <v>486</v>
      </c>
      <c r="AA101" s="7" t="s">
        <v>463</v>
      </c>
      <c r="AB101" s="7"/>
      <c r="AC101" s="7"/>
      <c r="AD101" s="7"/>
    </row>
    <row r="102" spans="1:30" ht="35.25">
      <c r="A102" s="7"/>
      <c r="B102" s="7"/>
      <c r="C102" s="7"/>
      <c r="D102" s="4"/>
      <c r="E102" s="7"/>
      <c r="F102" s="4"/>
      <c r="G102" s="7"/>
      <c r="H102" s="4"/>
      <c r="I102" s="4"/>
      <c r="J102" s="4"/>
      <c r="K102" s="4"/>
      <c r="L102" s="7"/>
      <c r="M102" s="10" t="s">
        <v>487</v>
      </c>
      <c r="N102" s="7" t="s">
        <v>83</v>
      </c>
      <c r="O102" s="20" t="s">
        <v>488</v>
      </c>
      <c r="P102" s="18" t="s">
        <v>489</v>
      </c>
      <c r="Q102" s="18" t="s">
        <v>490</v>
      </c>
      <c r="R102" s="18" t="s">
        <v>468</v>
      </c>
      <c r="S102" s="17" t="s">
        <v>491</v>
      </c>
      <c r="T102" s="17" t="s">
        <v>492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2.75" customHeight="1">
      <c r="A103" s="7"/>
      <c r="B103" s="7"/>
      <c r="C103" s="7"/>
      <c r="D103" s="4"/>
      <c r="E103" s="7"/>
      <c r="F103" s="4"/>
      <c r="G103" s="7"/>
      <c r="H103" s="4"/>
      <c r="I103" s="4"/>
      <c r="J103" s="4"/>
      <c r="K103" s="4"/>
      <c r="L103" s="7"/>
      <c r="M103" s="10" t="s">
        <v>493</v>
      </c>
      <c r="N103" s="7" t="s">
        <v>83</v>
      </c>
      <c r="O103" s="20"/>
      <c r="P103" s="18"/>
      <c r="Q103" s="18"/>
      <c r="R103" s="18"/>
      <c r="S103" s="17" t="s">
        <v>491</v>
      </c>
      <c r="T103" s="17" t="s">
        <v>492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2.75" customHeight="1">
      <c r="A104" s="7"/>
      <c r="B104" s="7"/>
      <c r="C104" s="7"/>
      <c r="D104" s="4"/>
      <c r="E104" s="7"/>
      <c r="F104" s="4"/>
      <c r="G104" s="7"/>
      <c r="H104" s="4"/>
      <c r="I104" s="4"/>
      <c r="J104" s="4"/>
      <c r="K104" s="4"/>
      <c r="L104" s="7"/>
      <c r="M104" s="16" t="s">
        <v>494</v>
      </c>
      <c r="N104" s="7" t="s">
        <v>83</v>
      </c>
      <c r="O104" s="7" t="s">
        <v>495</v>
      </c>
      <c r="P104" s="7" t="s">
        <v>270</v>
      </c>
      <c r="Q104" s="7" t="s">
        <v>496</v>
      </c>
      <c r="R104" s="7" t="s">
        <v>87</v>
      </c>
      <c r="S104" s="7" t="s">
        <v>88</v>
      </c>
      <c r="T104" s="7" t="s">
        <v>497</v>
      </c>
      <c r="U104" s="7" t="s">
        <v>498</v>
      </c>
      <c r="V104" s="7" t="s">
        <v>499</v>
      </c>
      <c r="W104" s="7" t="s">
        <v>500</v>
      </c>
      <c r="X104" s="7" t="s">
        <v>501</v>
      </c>
      <c r="Y104" s="7" t="s">
        <v>502</v>
      </c>
      <c r="Z104" s="7" t="s">
        <v>503</v>
      </c>
      <c r="AA104" s="7" t="s">
        <v>504</v>
      </c>
      <c r="AB104" s="7"/>
      <c r="AC104" s="7"/>
      <c r="AD104" s="7"/>
    </row>
    <row r="105" spans="1:30" ht="35.25">
      <c r="A105" s="7"/>
      <c r="B105" s="7"/>
      <c r="C105" s="7"/>
      <c r="D105" s="4"/>
      <c r="E105" s="7"/>
      <c r="F105" s="4"/>
      <c r="G105" s="7"/>
      <c r="H105" s="4"/>
      <c r="I105" s="4"/>
      <c r="J105" s="4"/>
      <c r="K105" s="4"/>
      <c r="L105" s="7"/>
      <c r="M105" s="16" t="s">
        <v>280</v>
      </c>
      <c r="N105" s="7" t="s">
        <v>83</v>
      </c>
      <c r="O105" s="18" t="s">
        <v>505</v>
      </c>
      <c r="P105" s="18" t="s">
        <v>506</v>
      </c>
      <c r="Q105" s="18" t="s">
        <v>507</v>
      </c>
      <c r="R105" s="18" t="s">
        <v>508</v>
      </c>
      <c r="S105" s="7" t="s">
        <v>88</v>
      </c>
      <c r="T105" s="7" t="s">
        <v>509</v>
      </c>
      <c r="U105" s="7" t="s">
        <v>510</v>
      </c>
      <c r="V105" s="11" t="s">
        <v>511</v>
      </c>
      <c r="W105" s="7" t="s">
        <v>512</v>
      </c>
      <c r="X105" s="7" t="s">
        <v>513</v>
      </c>
      <c r="Y105" s="7" t="s">
        <v>514</v>
      </c>
      <c r="Z105" s="7" t="s">
        <v>515</v>
      </c>
      <c r="AA105" s="7" t="s">
        <v>516</v>
      </c>
      <c r="AB105" s="7"/>
      <c r="AC105" s="7"/>
      <c r="AD105" s="7"/>
    </row>
    <row r="106" spans="1:30" ht="46.5">
      <c r="A106" s="7"/>
      <c r="B106" s="7"/>
      <c r="C106" s="7"/>
      <c r="D106" s="4"/>
      <c r="E106" s="7"/>
      <c r="F106" s="4"/>
      <c r="G106" s="7"/>
      <c r="H106" s="4"/>
      <c r="I106" s="4"/>
      <c r="J106" s="4"/>
      <c r="K106" s="4"/>
      <c r="L106" s="7"/>
      <c r="M106" s="16" t="s">
        <v>517</v>
      </c>
      <c r="N106" s="7" t="s">
        <v>83</v>
      </c>
      <c r="O106" s="18" t="s">
        <v>518</v>
      </c>
      <c r="P106" s="18" t="s">
        <v>519</v>
      </c>
      <c r="Q106" s="18" t="s">
        <v>520</v>
      </c>
      <c r="R106" s="18" t="s">
        <v>521</v>
      </c>
      <c r="S106" s="7" t="s">
        <v>272</v>
      </c>
      <c r="T106" s="7" t="s">
        <v>522</v>
      </c>
      <c r="U106" s="7" t="s">
        <v>498</v>
      </c>
      <c r="V106" s="11" t="s">
        <v>326</v>
      </c>
      <c r="W106" s="7" t="s">
        <v>523</v>
      </c>
      <c r="X106" s="7" t="s">
        <v>513</v>
      </c>
      <c r="Y106" s="7" t="s">
        <v>524</v>
      </c>
      <c r="Z106" s="7" t="s">
        <v>525</v>
      </c>
      <c r="AA106" s="7" t="s">
        <v>526</v>
      </c>
      <c r="AB106" s="7"/>
      <c r="AC106" s="7"/>
      <c r="AD106" s="7"/>
    </row>
    <row r="107" spans="1:30" ht="46.5">
      <c r="A107" s="7"/>
      <c r="B107" s="7"/>
      <c r="C107" s="7"/>
      <c r="D107" s="4"/>
      <c r="E107" s="7"/>
      <c r="F107" s="4"/>
      <c r="G107" s="7"/>
      <c r="H107" s="4"/>
      <c r="I107" s="4"/>
      <c r="J107" s="4"/>
      <c r="K107" s="4"/>
      <c r="L107" s="7"/>
      <c r="M107" s="16" t="s">
        <v>527</v>
      </c>
      <c r="N107" s="7" t="s">
        <v>83</v>
      </c>
      <c r="O107" s="18"/>
      <c r="P107" s="18"/>
      <c r="Q107" s="18"/>
      <c r="R107" s="18" t="s">
        <v>528</v>
      </c>
      <c r="S107" s="7"/>
      <c r="T107" s="7"/>
      <c r="U107" s="7"/>
      <c r="V107" s="11"/>
      <c r="W107" s="7"/>
      <c r="X107" s="7"/>
      <c r="Y107" s="7"/>
      <c r="Z107" s="7"/>
      <c r="AA107" s="7"/>
      <c r="AB107" s="7"/>
      <c r="AC107" s="7"/>
      <c r="AD107" s="7"/>
    </row>
    <row r="108" spans="1:30" ht="12.75" customHeight="1">
      <c r="A108" s="7"/>
      <c r="B108" s="7"/>
      <c r="C108" s="7"/>
      <c r="D108" s="4"/>
      <c r="E108" s="7"/>
      <c r="F108" s="4"/>
      <c r="G108" s="7"/>
      <c r="H108" s="4"/>
      <c r="I108" s="4"/>
      <c r="J108" s="4"/>
      <c r="K108" s="4"/>
      <c r="L108" s="7"/>
      <c r="M108" s="16" t="s">
        <v>529</v>
      </c>
      <c r="N108" s="7" t="s">
        <v>83</v>
      </c>
      <c r="O108" s="7" t="s">
        <v>530</v>
      </c>
      <c r="P108" s="7" t="s">
        <v>531</v>
      </c>
      <c r="Q108" s="7" t="s">
        <v>532</v>
      </c>
      <c r="R108" s="7" t="s">
        <v>87</v>
      </c>
      <c r="S108" s="7" t="s">
        <v>88</v>
      </c>
      <c r="T108" s="7" t="s">
        <v>533</v>
      </c>
      <c r="U108" s="7" t="s">
        <v>534</v>
      </c>
      <c r="V108" s="7" t="s">
        <v>535</v>
      </c>
      <c r="W108" s="7" t="s">
        <v>536</v>
      </c>
      <c r="X108" s="7" t="s">
        <v>537</v>
      </c>
      <c r="Y108" s="7" t="s">
        <v>299</v>
      </c>
      <c r="Z108" s="7" t="s">
        <v>538</v>
      </c>
      <c r="AA108" s="7" t="s">
        <v>539</v>
      </c>
      <c r="AB108" s="7"/>
      <c r="AC108" s="7"/>
      <c r="AD108" s="7"/>
    </row>
    <row r="109" spans="1:30" ht="23.25">
      <c r="A109" s="7"/>
      <c r="B109" s="7"/>
      <c r="C109" s="7"/>
      <c r="D109" s="4" t="s">
        <v>427</v>
      </c>
      <c r="E109" s="7" t="s">
        <v>426</v>
      </c>
      <c r="F109" s="4"/>
      <c r="G109" s="7"/>
      <c r="H109" s="4"/>
      <c r="I109" s="4"/>
      <c r="J109" s="4"/>
      <c r="K109" s="4"/>
      <c r="L109" s="7"/>
      <c r="M109" s="16" t="s">
        <v>540</v>
      </c>
      <c r="N109" s="7" t="s">
        <v>83</v>
      </c>
      <c r="O109" s="20">
        <f>82/(100-2.7)</f>
        <v>0.84275436793422409</v>
      </c>
      <c r="P109" s="18" t="s">
        <v>227</v>
      </c>
      <c r="Q109" s="18" t="s">
        <v>541</v>
      </c>
      <c r="R109" s="18" t="s">
        <v>542</v>
      </c>
      <c r="S109" s="7" t="s">
        <v>88</v>
      </c>
      <c r="T109" s="7" t="s">
        <v>543</v>
      </c>
      <c r="U109" s="7" t="s">
        <v>544</v>
      </c>
      <c r="V109" s="7" t="s">
        <v>545</v>
      </c>
      <c r="W109" s="7" t="s">
        <v>546</v>
      </c>
      <c r="X109" s="7" t="s">
        <v>547</v>
      </c>
      <c r="Y109" s="7" t="s">
        <v>328</v>
      </c>
      <c r="Z109" s="7" t="s">
        <v>548</v>
      </c>
      <c r="AA109" s="7" t="s">
        <v>476</v>
      </c>
      <c r="AB109" s="7"/>
      <c r="AC109" s="7"/>
      <c r="AD109" s="7"/>
    </row>
    <row r="110" spans="1:30" s="30" customFormat="1" ht="25.5" customHeight="1">
      <c r="A110" s="26"/>
      <c r="B110" s="26"/>
      <c r="C110" s="26"/>
      <c r="D110" s="27"/>
      <c r="E110" s="26"/>
      <c r="F110" s="27"/>
      <c r="G110" s="26"/>
      <c r="H110" s="27"/>
      <c r="I110" s="27"/>
      <c r="J110" s="27"/>
      <c r="K110" s="27"/>
      <c r="L110" s="26"/>
      <c r="M110" s="27" t="s">
        <v>549</v>
      </c>
      <c r="N110" s="26" t="s">
        <v>83</v>
      </c>
      <c r="O110" s="28">
        <v>0.96699999999999997</v>
      </c>
      <c r="P110" s="29" t="s">
        <v>550</v>
      </c>
      <c r="Q110" s="29" t="s">
        <v>551</v>
      </c>
      <c r="R110" s="29" t="s">
        <v>542</v>
      </c>
      <c r="S110" s="26" t="s">
        <v>491</v>
      </c>
      <c r="T110" s="26" t="s">
        <v>552</v>
      </c>
      <c r="U110" s="26" t="s">
        <v>483</v>
      </c>
      <c r="V110" s="26" t="s">
        <v>553</v>
      </c>
      <c r="W110" s="26" t="s">
        <v>554</v>
      </c>
      <c r="X110" s="26" t="s">
        <v>555</v>
      </c>
      <c r="Y110" s="26" t="s">
        <v>556</v>
      </c>
      <c r="Z110" s="26" t="s">
        <v>557</v>
      </c>
      <c r="AA110" s="26" t="s">
        <v>558</v>
      </c>
      <c r="AB110" s="26" t="s">
        <v>559</v>
      </c>
      <c r="AC110" s="26" t="s">
        <v>560</v>
      </c>
      <c r="AD110" s="26" t="s">
        <v>561</v>
      </c>
    </row>
    <row r="111" spans="1:30" ht="25.5" customHeight="1">
      <c r="A111" s="7"/>
      <c r="B111" s="7"/>
      <c r="C111" s="7"/>
      <c r="D111" s="4"/>
      <c r="E111" s="7"/>
      <c r="F111" s="4"/>
      <c r="G111" s="7"/>
      <c r="H111" s="4"/>
      <c r="I111" s="4"/>
      <c r="J111" s="4"/>
      <c r="K111" s="4"/>
      <c r="L111" s="7"/>
      <c r="M111" s="16" t="s">
        <v>562</v>
      </c>
      <c r="N111" s="7" t="s">
        <v>83</v>
      </c>
      <c r="O111" s="20">
        <v>0.96650000000000003</v>
      </c>
      <c r="P111" s="18" t="s">
        <v>550</v>
      </c>
      <c r="Q111" s="18" t="s">
        <v>563</v>
      </c>
      <c r="R111" s="18" t="s">
        <v>87</v>
      </c>
      <c r="S111" s="7" t="s">
        <v>491</v>
      </c>
      <c r="T111" s="7" t="s">
        <v>564</v>
      </c>
      <c r="U111" s="7" t="s">
        <v>565</v>
      </c>
      <c r="V111" s="7" t="s">
        <v>566</v>
      </c>
      <c r="W111" s="7" t="s">
        <v>567</v>
      </c>
      <c r="X111" s="7" t="s">
        <v>568</v>
      </c>
      <c r="Y111" s="7" t="s">
        <v>569</v>
      </c>
      <c r="Z111" s="7" t="s">
        <v>570</v>
      </c>
      <c r="AA111" s="7" t="s">
        <v>571</v>
      </c>
      <c r="AB111" s="7" t="s">
        <v>572</v>
      </c>
      <c r="AC111" s="7" t="s">
        <v>573</v>
      </c>
      <c r="AD111" s="7" t="s">
        <v>574</v>
      </c>
    </row>
    <row r="112" spans="1:30" ht="12.75" customHeight="1">
      <c r="A112" s="7" t="s">
        <v>29</v>
      </c>
      <c r="B112" s="7" t="s">
        <v>575</v>
      </c>
      <c r="C112" s="7" t="s">
        <v>575</v>
      </c>
      <c r="D112" s="4" t="s">
        <v>427</v>
      </c>
      <c r="E112" s="7" t="s">
        <v>575</v>
      </c>
      <c r="F112" s="4" t="s">
        <v>158</v>
      </c>
      <c r="G112" s="7"/>
      <c r="H112" s="4" t="s">
        <v>428</v>
      </c>
      <c r="I112" s="4"/>
      <c r="J112" s="4"/>
      <c r="K112" s="4" t="s">
        <v>149</v>
      </c>
      <c r="L112" s="7" t="s">
        <v>575</v>
      </c>
      <c r="M112" s="7" t="s">
        <v>576</v>
      </c>
      <c r="N112" s="13" t="s">
        <v>124</v>
      </c>
      <c r="O112" s="14"/>
      <c r="P112" s="7" t="s">
        <v>577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2.75" customHeight="1">
      <c r="A113" s="2" t="s">
        <v>29</v>
      </c>
      <c r="B113" s="7" t="s">
        <v>578</v>
      </c>
      <c r="C113" s="7" t="s">
        <v>578</v>
      </c>
      <c r="D113" s="4" t="s">
        <v>427</v>
      </c>
      <c r="E113" s="7" t="s">
        <v>578</v>
      </c>
      <c r="F113" s="4" t="s">
        <v>158</v>
      </c>
      <c r="G113" s="7"/>
      <c r="H113" s="4" t="s">
        <v>428</v>
      </c>
      <c r="I113" s="4"/>
      <c r="J113" s="4"/>
      <c r="K113" s="4" t="s">
        <v>149</v>
      </c>
      <c r="L113" s="7" t="s">
        <v>578</v>
      </c>
      <c r="M113" s="6" t="s">
        <v>579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2.75" customHeight="1">
      <c r="A114" s="7" t="s">
        <v>29</v>
      </c>
      <c r="B114" s="7" t="s">
        <v>580</v>
      </c>
      <c r="C114" s="7" t="s">
        <v>580</v>
      </c>
      <c r="D114" s="4" t="s">
        <v>427</v>
      </c>
      <c r="E114" s="7" t="s">
        <v>580</v>
      </c>
      <c r="F114" s="4" t="s">
        <v>158</v>
      </c>
      <c r="G114" s="7"/>
      <c r="H114" s="4" t="s">
        <v>428</v>
      </c>
      <c r="I114" s="4"/>
      <c r="J114" s="4"/>
      <c r="K114" s="4" t="s">
        <v>149</v>
      </c>
      <c r="L114" s="7" t="s">
        <v>580</v>
      </c>
      <c r="M114" s="7" t="s">
        <v>581</v>
      </c>
      <c r="N114" s="13" t="s">
        <v>124</v>
      </c>
      <c r="O114" s="14"/>
      <c r="P114" s="7" t="s">
        <v>582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2.75" customHeight="1">
      <c r="A115" s="7" t="s">
        <v>29</v>
      </c>
      <c r="B115" s="7" t="s">
        <v>583</v>
      </c>
      <c r="C115" s="7" t="s">
        <v>583</v>
      </c>
      <c r="D115" s="4" t="s">
        <v>427</v>
      </c>
      <c r="E115" s="7" t="s">
        <v>583</v>
      </c>
      <c r="F115" s="4" t="s">
        <v>158</v>
      </c>
      <c r="G115" s="7"/>
      <c r="H115" s="4" t="s">
        <v>428</v>
      </c>
      <c r="I115" s="4"/>
      <c r="J115" s="4"/>
      <c r="K115" s="4" t="s">
        <v>149</v>
      </c>
      <c r="L115" s="7" t="s">
        <v>583</v>
      </c>
      <c r="M115" s="6" t="s">
        <v>584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2.75" customHeight="1">
      <c r="A116" s="7" t="s">
        <v>29</v>
      </c>
      <c r="B116" s="7" t="s">
        <v>585</v>
      </c>
      <c r="C116" s="7" t="s">
        <v>585</v>
      </c>
      <c r="D116" s="4" t="s">
        <v>427</v>
      </c>
      <c r="E116" s="7" t="s">
        <v>585</v>
      </c>
      <c r="F116" s="4" t="s">
        <v>158</v>
      </c>
      <c r="G116" s="7"/>
      <c r="H116" s="4" t="s">
        <v>428</v>
      </c>
      <c r="I116" s="4"/>
      <c r="J116" s="4"/>
      <c r="K116" s="4" t="s">
        <v>149</v>
      </c>
      <c r="L116" s="7" t="s">
        <v>585</v>
      </c>
      <c r="M116" s="7" t="s">
        <v>586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23.25">
      <c r="A117" s="7" t="s">
        <v>29</v>
      </c>
      <c r="B117" s="7" t="s">
        <v>587</v>
      </c>
      <c r="C117" s="7" t="s">
        <v>587</v>
      </c>
      <c r="D117" s="4" t="s">
        <v>427</v>
      </c>
      <c r="E117" s="7" t="s">
        <v>587</v>
      </c>
      <c r="F117" s="4" t="s">
        <v>158</v>
      </c>
      <c r="G117" s="7"/>
      <c r="H117" s="4" t="s">
        <v>428</v>
      </c>
      <c r="I117" s="4"/>
      <c r="J117" s="4"/>
      <c r="K117" s="4" t="s">
        <v>149</v>
      </c>
      <c r="L117" s="7" t="s">
        <v>587</v>
      </c>
      <c r="M117" s="21" t="s">
        <v>588</v>
      </c>
      <c r="N117" s="17" t="s">
        <v>83</v>
      </c>
      <c r="O117" s="17">
        <v>0.17879999999999999</v>
      </c>
      <c r="P117" s="7" t="s">
        <v>589</v>
      </c>
      <c r="Q117" s="7" t="s">
        <v>590</v>
      </c>
      <c r="R117" s="7" t="s">
        <v>87</v>
      </c>
      <c r="S117" s="7" t="s">
        <v>72</v>
      </c>
      <c r="T117" s="7" t="s">
        <v>591</v>
      </c>
      <c r="U117" s="7" t="s">
        <v>592</v>
      </c>
      <c r="V117" s="7" t="s">
        <v>593</v>
      </c>
      <c r="W117" s="7" t="s">
        <v>594</v>
      </c>
      <c r="X117" s="7" t="s">
        <v>595</v>
      </c>
      <c r="Y117" s="7" t="s">
        <v>596</v>
      </c>
      <c r="Z117" s="7" t="s">
        <v>597</v>
      </c>
      <c r="AA117" s="7" t="s">
        <v>598</v>
      </c>
      <c r="AB117" s="7"/>
      <c r="AC117" s="7"/>
      <c r="AD117" s="7"/>
    </row>
    <row r="118" spans="1:30" ht="12.75" customHeight="1">
      <c r="A118" s="7"/>
      <c r="B118" s="7"/>
      <c r="C118" s="7"/>
      <c r="D118" s="4"/>
      <c r="E118" s="7"/>
      <c r="F118" s="4"/>
      <c r="G118" s="7"/>
      <c r="H118" s="4"/>
      <c r="I118" s="4"/>
      <c r="J118" s="4"/>
      <c r="K118" s="4"/>
      <c r="L118" s="7"/>
      <c r="M118" s="21" t="s">
        <v>176</v>
      </c>
      <c r="N118" s="17" t="s">
        <v>83</v>
      </c>
      <c r="O118" s="22">
        <f>28.5/(100-4)</f>
        <v>0.296875</v>
      </c>
      <c r="P118" s="7"/>
      <c r="Q118" s="7"/>
      <c r="R118" s="7" t="s">
        <v>87</v>
      </c>
      <c r="S118" s="7" t="s">
        <v>491</v>
      </c>
      <c r="T118" s="7" t="s">
        <v>599</v>
      </c>
      <c r="U118" s="7" t="s">
        <v>600</v>
      </c>
      <c r="V118" s="7" t="s">
        <v>601</v>
      </c>
      <c r="W118" s="7" t="s">
        <v>602</v>
      </c>
      <c r="X118" s="7" t="s">
        <v>603</v>
      </c>
      <c r="Y118" s="7" t="s">
        <v>604</v>
      </c>
      <c r="Z118" s="7" t="s">
        <v>605</v>
      </c>
      <c r="AA118" s="7" t="s">
        <v>606</v>
      </c>
      <c r="AB118" s="7"/>
      <c r="AC118" s="7"/>
      <c r="AD118" s="7"/>
    </row>
    <row r="119" spans="1:30" ht="12.75" customHeight="1">
      <c r="A119" s="7" t="s">
        <v>29</v>
      </c>
      <c r="B119" s="7" t="s">
        <v>607</v>
      </c>
      <c r="C119" s="7" t="s">
        <v>607</v>
      </c>
      <c r="D119" s="4" t="s">
        <v>427</v>
      </c>
      <c r="E119" s="7" t="s">
        <v>607</v>
      </c>
      <c r="F119" s="4" t="s">
        <v>351</v>
      </c>
      <c r="G119" s="7"/>
      <c r="H119" s="4" t="s">
        <v>428</v>
      </c>
      <c r="I119" s="4"/>
      <c r="J119" s="4"/>
      <c r="K119" s="4" t="s">
        <v>149</v>
      </c>
      <c r="L119" s="7" t="s">
        <v>607</v>
      </c>
      <c r="M119" s="6" t="s">
        <v>579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2.75" customHeight="1">
      <c r="A120" s="7" t="s">
        <v>29</v>
      </c>
      <c r="B120" s="7" t="s">
        <v>608</v>
      </c>
      <c r="C120" s="7" t="s">
        <v>608</v>
      </c>
      <c r="D120" s="4" t="s">
        <v>157</v>
      </c>
      <c r="E120" s="7" t="s">
        <v>608</v>
      </c>
      <c r="F120" s="4" t="s">
        <v>158</v>
      </c>
      <c r="G120" s="7"/>
      <c r="H120" s="4" t="s">
        <v>159</v>
      </c>
      <c r="I120" s="4"/>
      <c r="J120" s="4"/>
      <c r="K120" s="4" t="s">
        <v>149</v>
      </c>
      <c r="L120" s="7" t="s">
        <v>608</v>
      </c>
      <c r="M120" s="7" t="s">
        <v>609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2.75" customHeight="1">
      <c r="A121" s="7" t="s">
        <v>29</v>
      </c>
      <c r="B121" s="7" t="s">
        <v>610</v>
      </c>
      <c r="C121" s="7" t="s">
        <v>610</v>
      </c>
      <c r="D121" s="4" t="s">
        <v>611</v>
      </c>
      <c r="E121" s="7" t="s">
        <v>610</v>
      </c>
      <c r="F121" s="4" t="s">
        <v>612</v>
      </c>
      <c r="G121" s="7"/>
      <c r="H121" s="4" t="s">
        <v>613</v>
      </c>
      <c r="I121" s="4"/>
      <c r="J121" s="4"/>
      <c r="K121" s="4" t="s">
        <v>614</v>
      </c>
      <c r="L121" s="7" t="s">
        <v>610</v>
      </c>
      <c r="M121" s="7" t="s">
        <v>44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2.75" customHeight="1">
      <c r="A122" s="2" t="s">
        <v>29</v>
      </c>
      <c r="B122" s="7" t="s">
        <v>615</v>
      </c>
      <c r="C122" s="7" t="s">
        <v>615</v>
      </c>
      <c r="D122" s="4" t="s">
        <v>611</v>
      </c>
      <c r="E122" s="7" t="s">
        <v>615</v>
      </c>
      <c r="F122" s="4" t="s">
        <v>612</v>
      </c>
      <c r="G122" s="7"/>
      <c r="H122" s="4" t="s">
        <v>613</v>
      </c>
      <c r="I122" s="4"/>
      <c r="J122" s="4"/>
      <c r="K122" s="4" t="s">
        <v>614</v>
      </c>
      <c r="L122" s="7" t="s">
        <v>615</v>
      </c>
      <c r="M122" s="6" t="s">
        <v>37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2.75" customHeight="1">
      <c r="A123" s="7" t="s">
        <v>29</v>
      </c>
      <c r="B123" s="7" t="s">
        <v>616</v>
      </c>
      <c r="C123" s="7" t="s">
        <v>616</v>
      </c>
      <c r="D123" s="4" t="s">
        <v>611</v>
      </c>
      <c r="E123" s="7" t="s">
        <v>616</v>
      </c>
      <c r="F123" s="4" t="s">
        <v>612</v>
      </c>
      <c r="G123" s="7"/>
      <c r="H123" s="4" t="s">
        <v>613</v>
      </c>
      <c r="I123" s="4"/>
      <c r="J123" s="4"/>
      <c r="K123" s="4" t="s">
        <v>614</v>
      </c>
      <c r="L123" s="7" t="s">
        <v>616</v>
      </c>
      <c r="M123" s="7" t="s">
        <v>617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2.75" customHeight="1">
      <c r="A124" s="7" t="s">
        <v>29</v>
      </c>
      <c r="B124" s="7" t="s">
        <v>618</v>
      </c>
      <c r="C124" s="7" t="s">
        <v>618</v>
      </c>
      <c r="D124" s="4" t="s">
        <v>611</v>
      </c>
      <c r="E124" s="7" t="s">
        <v>618</v>
      </c>
      <c r="F124" s="4" t="s">
        <v>612</v>
      </c>
      <c r="G124" s="7"/>
      <c r="H124" s="4" t="s">
        <v>613</v>
      </c>
      <c r="I124" s="4"/>
      <c r="J124" s="4"/>
      <c r="K124" s="4" t="s">
        <v>614</v>
      </c>
      <c r="L124" s="7" t="s">
        <v>618</v>
      </c>
      <c r="M124" s="7" t="s">
        <v>619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2.75" customHeight="1">
      <c r="A125" s="7" t="s">
        <v>29</v>
      </c>
      <c r="B125" s="7" t="s">
        <v>620</v>
      </c>
      <c r="C125" s="7" t="s">
        <v>620</v>
      </c>
      <c r="D125" s="4" t="s">
        <v>611</v>
      </c>
      <c r="E125" s="7" t="s">
        <v>620</v>
      </c>
      <c r="F125" s="4" t="s">
        <v>612</v>
      </c>
      <c r="G125" s="7"/>
      <c r="H125" s="4" t="s">
        <v>613</v>
      </c>
      <c r="I125" s="4"/>
      <c r="J125" s="4"/>
      <c r="K125" s="4" t="s">
        <v>614</v>
      </c>
      <c r="L125" s="7" t="s">
        <v>620</v>
      </c>
      <c r="M125" s="7" t="s">
        <v>44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2.75" customHeight="1">
      <c r="A126" s="7" t="s">
        <v>29</v>
      </c>
      <c r="B126" s="7" t="s">
        <v>621</v>
      </c>
      <c r="C126" s="7" t="s">
        <v>621</v>
      </c>
      <c r="D126" s="4" t="s">
        <v>611</v>
      </c>
      <c r="E126" s="7" t="s">
        <v>621</v>
      </c>
      <c r="F126" s="4" t="s">
        <v>612</v>
      </c>
      <c r="G126" s="7"/>
      <c r="H126" s="4" t="s">
        <v>613</v>
      </c>
      <c r="I126" s="4"/>
      <c r="J126" s="4"/>
      <c r="K126" s="4" t="s">
        <v>614</v>
      </c>
      <c r="L126" s="7" t="s">
        <v>621</v>
      </c>
      <c r="M126" s="7" t="s">
        <v>44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2.75" customHeight="1">
      <c r="A127" s="7" t="s">
        <v>29</v>
      </c>
      <c r="B127" s="7" t="s">
        <v>622</v>
      </c>
      <c r="C127" s="7" t="s">
        <v>622</v>
      </c>
      <c r="D127" s="4" t="s">
        <v>611</v>
      </c>
      <c r="E127" s="7" t="s">
        <v>622</v>
      </c>
      <c r="F127" s="4" t="s">
        <v>612</v>
      </c>
      <c r="G127" s="7"/>
      <c r="H127" s="4" t="s">
        <v>613</v>
      </c>
      <c r="I127" s="4"/>
      <c r="J127" s="4"/>
      <c r="K127" s="4" t="s">
        <v>614</v>
      </c>
      <c r="L127" s="7" t="s">
        <v>622</v>
      </c>
      <c r="M127" s="7" t="s">
        <v>44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2.75" customHeight="1">
      <c r="A128" s="7" t="s">
        <v>29</v>
      </c>
      <c r="B128" s="7" t="s">
        <v>623</v>
      </c>
      <c r="C128" s="7" t="s">
        <v>623</v>
      </c>
      <c r="D128" s="4" t="s">
        <v>611</v>
      </c>
      <c r="E128" s="7" t="s">
        <v>623</v>
      </c>
      <c r="F128" s="4" t="s">
        <v>612</v>
      </c>
      <c r="G128" s="7"/>
      <c r="H128" s="4" t="s">
        <v>613</v>
      </c>
      <c r="I128" s="4"/>
      <c r="J128" s="4"/>
      <c r="K128" s="4" t="s">
        <v>614</v>
      </c>
      <c r="L128" s="7" t="s">
        <v>623</v>
      </c>
      <c r="M128" s="7" t="s">
        <v>44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2.75" customHeight="1">
      <c r="A129" s="7" t="s">
        <v>29</v>
      </c>
      <c r="B129" s="7" t="s">
        <v>624</v>
      </c>
      <c r="C129" s="7" t="s">
        <v>624</v>
      </c>
      <c r="D129" s="4" t="s">
        <v>625</v>
      </c>
      <c r="E129" s="7" t="s">
        <v>624</v>
      </c>
      <c r="F129" s="4" t="s">
        <v>626</v>
      </c>
      <c r="G129" s="7"/>
      <c r="H129" s="4" t="s">
        <v>627</v>
      </c>
      <c r="I129" s="4"/>
      <c r="J129" s="4"/>
      <c r="K129" s="4" t="s">
        <v>614</v>
      </c>
      <c r="L129" s="7" t="s">
        <v>624</v>
      </c>
      <c r="M129" s="6" t="s">
        <v>37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2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2.7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2.7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2.7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2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2.7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2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2.7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2.7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2.7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2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2.7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2.7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2.7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2.7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2.7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2023-12-04T18:57:51Z</dcterms:created>
  <dcterms:modified xsi:type="dcterms:W3CDTF">2026-07-13T18:55:06Z</dcterms:modified>
  <cp:category/>
  <cp:contentStatus/>
</cp:coreProperties>
</file>